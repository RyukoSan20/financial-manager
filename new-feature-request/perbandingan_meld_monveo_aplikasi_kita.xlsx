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Matriks Fitur" sheetId="2" state="visible" r:id="rId4"/>
    <sheet name="Temuan MELD" sheetId="3" state="visible" r:id="rId5"/>
    <sheet name="Cara Baca" sheetId="4" state="visible" r:id="rId6"/>
  </sheets>
  <definedNames>
    <definedName function="false" hidden="true" localSheetId="1" name="_xlnm._FilterDatabase" vbProcedure="false">'Matriks Fitur'!$A$4:$M$86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<sst xmlns="http://schemas.openxmlformats.org/spreadsheetml/2006/main" count="937" uniqueCount="378">
  <si>
    <t xml:space="preserve">Ringkasan perbandingan</t>
  </si>
  <si>
    <t xml:space="preserve">Semua angka dihitung dari sheet 'Matriks Fitur'. Ubah status di sana dan angka di sini ikut berubah.</t>
  </si>
  <si>
    <t xml:space="preserve">Status</t>
  </si>
  <si>
    <t xml:space="preserve">MELD</t>
  </si>
  <si>
    <t xml:space="preserve">Monveo</t>
  </si>
  <si>
    <t xml:space="preserve">Aplikasi Anda</t>
  </si>
  <si>
    <t xml:space="preserve">Ada</t>
  </si>
  <si>
    <t xml:space="preserve">Ada (klaim)</t>
  </si>
  <si>
    <t xml:space="preserve">Pro</t>
  </si>
  <si>
    <t xml:space="preserve">Sebagian</t>
  </si>
  <si>
    <t xml:space="preserve">Tidak terlihat</t>
  </si>
  <si>
    <t xml:space="preserve">Perlu cek</t>
  </si>
  <si>
    <t xml:space="preserve">Total fitur</t>
  </si>
  <si>
    <t xml:space="preserve">Cakupan (Ada + klaim + Pro) / total</t>
  </si>
  <si>
    <t xml:space="preserve">Penilaian untuk aplikasi Anda</t>
  </si>
  <si>
    <t xml:space="preserve">Jumlah fitur</t>
  </si>
  <si>
    <t xml:space="preserve">GAP BESAR</t>
  </si>
  <si>
    <t xml:space="preserve">Dua pesaing punya, kita belum atau baru sebagian</t>
  </si>
  <si>
    <t xml:space="preserve">GAP</t>
  </si>
  <si>
    <t xml:space="preserve">Satu pesaing punya, kita belum atau baru sebagian</t>
  </si>
  <si>
    <t xml:space="preserve">VERIFIKASI</t>
  </si>
  <si>
    <t xml:space="preserve">Status kita belum diisi (Perlu cek)</t>
  </si>
  <si>
    <t xml:space="preserve">Setara</t>
  </si>
  <si>
    <t xml:space="preserve">Pesaing punya dan kita juga Ada</t>
  </si>
  <si>
    <t xml:space="preserve">KEUNGGULAN UNIK</t>
  </si>
  <si>
    <t xml:space="preserve">Hanya kita yang Ada</t>
  </si>
  <si>
    <t xml:space="preserve">CEK PESAING</t>
  </si>
  <si>
    <t xml:space="preserve">Kita Ada, tetapi status pesaing belum dipastikan, jadi belum bisa disebut unik</t>
  </si>
  <si>
    <t xml:space="preserve">PELUANG</t>
  </si>
  <si>
    <t xml:space="preserve">Pesaing dipastikan belum punya (termasuk rencana kita)</t>
  </si>
  <si>
    <t xml:space="preserve">PELUANG (cek)</t>
  </si>
  <si>
    <t xml:space="preserve">Belum ada pesaing yang terlihat punya, tetapi satu pesaing masih Perlu cek</t>
  </si>
  <si>
    <t xml:space="preserve">Kelompok fitur</t>
  </si>
  <si>
    <t xml:space="preserve">Total</t>
  </si>
  <si>
    <t xml:space="preserve">Gap (besar + biasa)</t>
  </si>
  <si>
    <t xml:space="preserve">Prioritas Tinggi yang masih gap</t>
  </si>
  <si>
    <t xml:space="preserve">Capture &amp; input</t>
  </si>
  <si>
    <t xml:space="preserve">Akun &amp; kategori</t>
  </si>
  <si>
    <t xml:space="preserve">Tagihan &amp; berulang</t>
  </si>
  <si>
    <t xml:space="preserve">Perencanaan</t>
  </si>
  <si>
    <t xml:space="preserve">Analitik</t>
  </si>
  <si>
    <t xml:space="preserve">Kolaborasi</t>
  </si>
  <si>
    <t xml:space="preserve">Keamanan &amp; privasi</t>
  </si>
  <si>
    <t xml:space="preserve">Platform &amp; UX</t>
  </si>
  <si>
    <t xml:space="preserve">Bisnis &amp; pertumbuhan</t>
  </si>
  <si>
    <t xml:space="preserve">Pembeda rencana kita</t>
  </si>
  <si>
    <t xml:space="preserve">Matriks fitur: MELD vs Monveo vs aplikasi Anda (my-financial-manager.online)</t>
  </si>
  <si>
    <t xml:space="preserve">Kolom 'Status kita' dan 'Prioritas' (biru) bisa Anda ubah. Sel kuning = perlu Anda verifikasi. Kolom Pesaing punya dan Penilaian dihitung otomatis. Gunakan filter di baris judul.</t>
  </si>
  <si>
    <t xml:space="preserve">No</t>
  </si>
  <si>
    <t xml:space="preserve">Kelompok</t>
  </si>
  <si>
    <t xml:space="preserve">Fitur</t>
  </si>
  <si>
    <t xml:space="preserve">Bukti MELD</t>
  </si>
  <si>
    <t xml:space="preserve">Bukti Monveo</t>
  </si>
  <si>
    <t xml:space="preserve">Status kita</t>
  </si>
  <si>
    <t xml:space="preserve">Catatan kita</t>
  </si>
  <si>
    <t xml:space="preserve">Pesaing punya</t>
  </si>
  <si>
    <t xml:space="preserve">Penilaian</t>
  </si>
  <si>
    <t xml:space="preserve">Prioritas (saran)</t>
  </si>
  <si>
    <t xml:space="preserve">Catatan peluang</t>
  </si>
  <si>
    <t xml:space="preserve">Input manual transaksi</t>
  </si>
  <si>
    <t xml:space="preserve">Tombol + di semua halaman [SS]</t>
  </si>
  <si>
    <t xml:space="preserve">Tombol Add Manual [SS]</t>
  </si>
  <si>
    <t xml:space="preserve">Form Add Transaction [SS]</t>
  </si>
  <si>
    <t xml:space="preserve">Rendah</t>
  </si>
  <si>
    <t xml:space="preserve">Sudah setara.</t>
  </si>
  <si>
    <t xml:space="preserve">Kalkulator di kolom nominal</t>
  </si>
  <si>
    <t xml:space="preserve">Tutorial 'Kalkulator Transaksi' [SS]; mekanisme belum terlihat</t>
  </si>
  <si>
    <t xml:space="preserve">Setelan 'Amount keyboard: Standard' menyiratkan opsi lain [SS]</t>
  </si>
  <si>
    <t xml:space="preserve">Hanya chip nominal [SS]</t>
  </si>
  <si>
    <t xml:space="preserve">Sedang</t>
  </si>
  <si>
    <t xml:space="preserve">Ekspresi 25000+15000 dan 50000*2; murah dan terasa pintar.</t>
  </si>
  <si>
    <t xml:space="preserve">Chip nominal cepat</t>
  </si>
  <si>
    <t xml:space="preserve">Form tambah belum tertangkap screenshot</t>
  </si>
  <si>
    <t xml:space="preserve">50rb sampai 1jt [SS]</t>
  </si>
  <si>
    <t xml:space="preserve">Jadikan dinamis per kategori dari riwayat.</t>
  </si>
  <si>
    <t xml:space="preserve">Ketik cepat bahasa natural</t>
  </si>
  <si>
    <t xml:space="preserve">'AI Otomatis: deteksi kategori, jumlah, tipe' terkunci Pro [SS]</t>
  </si>
  <si>
    <t xml:space="preserve">Input natural; tip multi-transaksi [SS]</t>
  </si>
  <si>
    <t xml:space="preserve">Diklaim agent (v20); kualitas parser belum terverifikasi [Log]</t>
  </si>
  <si>
    <t xml:space="preserve">Tinggi</t>
  </si>
  <si>
    <t xml:space="preserve">Stabilkan dengan golden test sebelum menambah fitur lain.</t>
  </si>
  <si>
    <t xml:space="preserve">Input suara</t>
  </si>
  <si>
    <t xml:space="preserve">Play: AI Voice Command; Voice Note via Telegram terkunci Pro [Play,SS]</t>
  </si>
  <si>
    <t xml:space="preserve">Mikrofon + pilihan bahasa ID [SS]</t>
  </si>
  <si>
    <t xml:space="preserve">-</t>
  </si>
  <si>
    <t xml:space="preserve">Web Speech API untuk prototipe; masuk ke parser yang sama. Audio di Chrome dapat diproses server Google.</t>
  </si>
  <si>
    <t xml:space="preserve">Multi-transaksi dalam satu kalimat</t>
  </si>
  <si>
    <t xml:space="preserve">Tip 'coffee 20k and parking 5k' [SS]</t>
  </si>
  <si>
    <t xml:space="preserve">Pisah hanya jika tiap segmen punya nominal sendiri.</t>
  </si>
  <si>
    <t xml:space="preserve">Scan struk (OCR/AI)</t>
  </si>
  <si>
    <t xml:space="preserve">Play: AI Receipt Capture; versi Telegram terkunci Pro [Play,SS]</t>
  </si>
  <si>
    <t xml:space="preserve">Dialog 'Receipt details not recognized' [SS]</t>
  </si>
  <si>
    <t xml:space="preserve">Tunda: akurasi struk Indonesia belum konsisten, bahkan di Monveo.</t>
  </si>
  <si>
    <t xml:space="preserve">Berbagi struk/screenshot dari aplikasi lain</t>
  </si>
  <si>
    <t xml:space="preserve">Share Extension iOS [Web]</t>
  </si>
  <si>
    <t xml:space="preserve">Web Share Target hanya Android; verifikasi dukungan.</t>
  </si>
  <si>
    <t xml:space="preserve">Pembaca notifikasi menjadi draf</t>
  </si>
  <si>
    <t xml:space="preserve">Bagian 'Pencatatan otomatis: biar Meld yang mengetik, kamu cukup memeriksa'; mekanisme terpotong [SS]</t>
  </si>
  <si>
    <t xml:space="preserve">'Notification Reader: Review drafts' (Android) [SS]</t>
  </si>
  <si>
    <t xml:space="preserve">Versi web lewat tempel teks (baris berikutnya).</t>
  </si>
  <si>
    <t xml:space="preserve">Tempel teks notifikasi/SMS bank</t>
  </si>
  <si>
    <t xml:space="preserve">Tidak ada di pengaturan [SS]</t>
  </si>
  <si>
    <t xml:space="preserve">Rencana</t>
  </si>
  <si>
    <t xml:space="preserve">Pembeda: tanpa izin sensitif, 100% di klien. Butuh contoh teks asli.</t>
  </si>
  <si>
    <t xml:space="preserve">Draf / tinjau sebelum final</t>
  </si>
  <si>
    <t xml:space="preserve">'Review drafts' [SS]</t>
  </si>
  <si>
    <t xml:space="preserve">Fondasi semua capture otomatis; draf tidak mengubah saldo.</t>
  </si>
  <si>
    <t xml:space="preserve">Catat via bot Telegram</t>
  </si>
  <si>
    <t xml:space="preserve">'Catat via Telegram' terkunci Pro [SS]</t>
  </si>
  <si>
    <t xml:space="preserve">Risiko privasi; tunda.</t>
  </si>
  <si>
    <t xml:space="preserve">Catat via WhatsApp</t>
  </si>
  <si>
    <t xml:space="preserve">Threads/Play: catatan dari WhatsApp; mekanisme tidak diketahui</t>
  </si>
  <si>
    <t xml:space="preserve">API resmi berbayar; otomatisasi tak resmi berisiko diblokir. Alternatif: tautan wa.me.</t>
  </si>
  <si>
    <t xml:space="preserve">Pintasan sistem &amp; widget</t>
  </si>
  <si>
    <t xml:space="preserve">Widget Android [Thr]</t>
  </si>
  <si>
    <t xml:space="preserve">Shortcuts 'Voice &amp; Scanner', Siri, back tap [SS,Web]</t>
  </si>
  <si>
    <t xml:space="preserve">PWA shortcuts 'Catat cepat' murah dibuat.</t>
  </si>
  <si>
    <t xml:space="preserve">Impor/ekspor CSV</t>
  </si>
  <si>
    <t xml:space="preserve">'Import/export CSV' [SS]</t>
  </si>
  <si>
    <t xml:space="preserve">Tidak diketahui</t>
  </si>
  <si>
    <t xml:space="preserve">Wajib untuk kepercayaan; cek dulu apakah sudah ada.</t>
  </si>
  <si>
    <t xml:space="preserve">Kategori otomatis dari deskripsi</t>
  </si>
  <si>
    <t xml:space="preserve">AI Otomatis [SS]</t>
  </si>
  <si>
    <t xml:space="preserve">Kategori pilihan onboarding 'dikenali' [SS]</t>
  </si>
  <si>
    <t xml:space="preserve">Seed + fuzzy; presisi belum terukur [Log]</t>
  </si>
  <si>
    <t xml:space="preserve">Ukur presisi auto-isi; target 95% atau lebih.</t>
  </si>
  <si>
    <t xml:space="preserve">Kamus merek/istilah lokal Indonesia</t>
  </si>
  <si>
    <t xml:space="preserve">602 istilah; ada karakter sampah dan kata ambigu (review)</t>
  </si>
  <si>
    <t xml:space="preserve">Bersihkan; ini aset pembeda.</t>
  </si>
  <si>
    <t xml:space="preserve">Toleransi typo</t>
  </si>
  <si>
    <t xml:space="preserve">fuzzyMatch ada; bug skeleton/normalisasi (review)</t>
  </si>
  <si>
    <t xml:space="preserve">Perbaiki sesuai spesifikasi dan golden test.</t>
  </si>
  <si>
    <t xml:space="preserve">Multi akun/dompet</t>
  </si>
  <si>
    <t xml:space="preserve">Play: transfer antar aset</t>
  </si>
  <si>
    <t xml:space="preserve">Wallets [Web]</t>
  </si>
  <si>
    <t xml:space="preserve">Select Account [SS]</t>
  </si>
  <si>
    <t xml:space="preserve">Setara.</t>
  </si>
  <si>
    <t xml:space="preserve">Transfer antar akun</t>
  </si>
  <si>
    <t xml:space="preserve">Play</t>
  </si>
  <si>
    <t xml:space="preserve">Tab Transfer diklaim agent; atomisitas backend belum terverifikasi [Log]</t>
  </si>
  <si>
    <t xml:space="preserve">Satu endpoint atomik + idempotency.</t>
  </si>
  <si>
    <t xml:space="preserve">Logo bank &amp; e-wallet Indonesia</t>
  </si>
  <si>
    <t xml:space="preserve">Daftar BCA, BRImo, GoPay, OVO dst. [Web]</t>
  </si>
  <si>
    <t xml:space="preserve">Ikon generik [SS]</t>
  </si>
  <si>
    <t xml:space="preserve">Logo adalah merek dagang; mulai dari inisial berwarna.</t>
  </si>
  <si>
    <t xml:space="preserve">Kategori kustom</t>
  </si>
  <si>
    <t xml:space="preserve">'+ Kategori' [SS]</t>
  </si>
  <si>
    <t xml:space="preserve">'Category &amp; Budget' [SS]</t>
  </si>
  <si>
    <t xml:space="preserve">Kelompok Kebutuhan/Keinginan</t>
  </si>
  <si>
    <t xml:space="preserve">Tampilan 'stiker' per kelompok [SS]</t>
  </si>
  <si>
    <t xml:space="preserve">Dasar untuk 50/30/20.</t>
  </si>
  <si>
    <t xml:space="preserve">Kategori 'Penyesuaian Saldo'</t>
  </si>
  <si>
    <t xml:space="preserve">Terlihat di daftar kategori [SS]</t>
  </si>
  <si>
    <t xml:space="preserve">Rekonsiliasi saldo tanpa merusak laporan.</t>
  </si>
  <si>
    <t xml:space="preserve">Label / Tag</t>
  </si>
  <si>
    <t xml:space="preserve">Menu Label [SS]</t>
  </si>
  <si>
    <t xml:space="preserve">Tag, default Off [SS]</t>
  </si>
  <si>
    <t xml:space="preserve">Default nonaktif (progressive disclosure).</t>
  </si>
  <si>
    <t xml:space="preserve">Multi mata uang</t>
  </si>
  <si>
    <t xml:space="preserve">Pencarian pengaturan menyebut 'mata uang' [SS]</t>
  </si>
  <si>
    <t xml:space="preserve">Mendukung PayPal/Wise [Web]</t>
  </si>
  <si>
    <t xml:space="preserve">Onboarding pilih kategori awal</t>
  </si>
  <si>
    <t xml:space="preserve">'Pick your first categories' [SS]</t>
  </si>
  <si>
    <t xml:space="preserve">Sekaligus memetakan system_key.</t>
  </si>
  <si>
    <t xml:space="preserve">Checklist kesiapan akun</t>
  </si>
  <si>
    <t xml:space="preserve">'Setup', 'Kesiapan akun 0 dari 1', 'Lengkapi Profil Keuangan' [SS]</t>
  </si>
  <si>
    <t xml:space="preserve">Transaksi berulang</t>
  </si>
  <si>
    <t xml:space="preserve">Auto-deposit gaji &amp; auto-debit [Play]</t>
  </si>
  <si>
    <t xml:space="preserve">'Recurring Transaction' [SS]</t>
  </si>
  <si>
    <t xml:space="preserve">Fondasi Uang Aman Harian dan feed ICS.</t>
  </si>
  <si>
    <t xml:space="preserve">Pelacak langganan</t>
  </si>
  <si>
    <t xml:space="preserve">'Add Subscription': 21 layanan, siklus bulanan/tahunan/kustom, hari tagih 1-31 [SS]</t>
  </si>
  <si>
    <t xml:space="preserve">Daftar layanan MELD condong ke AS; tambahkan layanan Indonesia.</t>
  </si>
  <si>
    <t xml:space="preserve">Pengingat sebelum jatuh tempo</t>
  </si>
  <si>
    <t xml:space="preserve">1/2/3/5/7 hari + kustom, 0 = hari-H [SS]</t>
  </si>
  <si>
    <t xml:space="preserve">'Reminder' dan 'Reminders' [SS]</t>
  </si>
  <si>
    <t xml:space="preserve">Opt-in; masuk ke feed ICS.</t>
  </si>
  <si>
    <t xml:space="preserve">Auto-debit saat tanggal tagih</t>
  </si>
  <si>
    <t xml:space="preserve">'Auto-debit (Pro)' [SS]</t>
  </si>
  <si>
    <t xml:space="preserve">Hasilkan draf, bukan transaksi final.</t>
  </si>
  <si>
    <t xml:space="preserve">Auto-input gaji</t>
  </si>
  <si>
    <t xml:space="preserve">Pengingat harian untuk mencatat</t>
  </si>
  <si>
    <t xml:space="preserve">'Izinkan pengingat harian' [SS]</t>
  </si>
  <si>
    <t xml:space="preserve">'Daily reminder' [SS]</t>
  </si>
  <si>
    <t xml:space="preserve">Opt-in dengan pilihan jam.</t>
  </si>
  <si>
    <t xml:space="preserve">Insight mingguan/bulanan</t>
  </si>
  <si>
    <t xml:space="preserve">Weekly &amp; Monthly insight [SS]</t>
  </si>
  <si>
    <t xml:space="preserve">Utang-piutang</t>
  </si>
  <si>
    <t xml:space="preserve">Play: Accounts Payable &amp; Receivable</t>
  </si>
  <si>
    <t xml:space="preserve">Pengingat sopan via wa.me.</t>
  </si>
  <si>
    <t xml:space="preserve">Budget per kategori</t>
  </si>
  <si>
    <t xml:space="preserve">'Tambah Anggaran' [SS]</t>
  </si>
  <si>
    <t xml:space="preserve">Smart Budget 50/30/20 + resep</t>
  </si>
  <si>
    <t xml:space="preserve">Wizard 5 langkah; 4 resep (Si Seimbang dst.); slider [SS]</t>
  </si>
  <si>
    <t xml:space="preserve">Resep bernama karakter membuat budgeting terasa seperti cerita.</t>
  </si>
  <si>
    <t xml:space="preserve">Batas aman per hari</t>
  </si>
  <si>
    <t xml:space="preserve">'Rp500.0K/hari', 'posisi aman hari ini' [SS]</t>
  </si>
  <si>
    <t xml:space="preserve">Ide ini sudah ada di MELD. Pembeda kita: kurangi tagihan yang akan datang.</t>
  </si>
  <si>
    <t xml:space="preserve">Awal periode budget (tanggal gajian)</t>
  </si>
  <si>
    <t xml:space="preserve">Periode tampil 1-31 Okt [SS]</t>
  </si>
  <si>
    <t xml:space="preserve">'Budget period start' [SS]</t>
  </si>
  <si>
    <t xml:space="preserve">Uji tanggal 29-31.</t>
  </si>
  <si>
    <t xml:space="preserve">Target tabungan + proyeksi tanggal</t>
  </si>
  <si>
    <t xml:space="preserve">Timeline Jan 2028, Rp1,2jt/bln [SS]</t>
  </si>
  <si>
    <t xml:space="preserve">'Goals' [SS]</t>
  </si>
  <si>
    <t xml:space="preserve">Target dana darurat otomatis</t>
  </si>
  <si>
    <t xml:space="preserve">6x Kebutuhan = Rp18.000.000 [SS]</t>
  </si>
  <si>
    <t xml:space="preserve">Net worth (aset &amp; liabilitas)</t>
  </si>
  <si>
    <t xml:space="preserve">Tutorial 'Networth' [SS]</t>
  </si>
  <si>
    <t xml:space="preserve">Aset &amp; liabilitas [Web]</t>
  </si>
  <si>
    <t xml:space="preserve">Kesehatan finansial (skor + saran)</t>
  </si>
  <si>
    <t xml:space="preserve">Menu terlihat; isi belum dibuka [SS]</t>
  </si>
  <si>
    <t xml:space="preserve">Teks terminal di screenshot menyiratkan rute health-coach; belum jelas</t>
  </si>
  <si>
    <t xml:space="preserve">Berbasis aturan; tampilkan rumus.</t>
  </si>
  <si>
    <t xml:space="preserve">Asisten AI keuangan</t>
  </si>
  <si>
    <t xml:space="preserve">Play: AI Assistant</t>
  </si>
  <si>
    <t xml:space="preserve">'Ask Monveo' web, Pro [Web]</t>
  </si>
  <si>
    <t xml:space="preserve">Endpoint AI Advice error di log, belum dilaporkan/diperbaiki [Log]</t>
  </si>
  <si>
    <t xml:space="preserve">Grafik mingguan, income vs expense, tren saldo</t>
  </si>
  <si>
    <t xml:space="preserve">Weekly Expenses, Income vs Expenses, Net Balance Trend [SS]</t>
  </si>
  <si>
    <t xml:space="preserve">Tab Analytics [SS]</t>
  </si>
  <si>
    <t xml:space="preserve">Custom chart tersimpan</t>
  </si>
  <si>
    <t xml:space="preserve">Tutorial + Play [SS,Play]</t>
  </si>
  <si>
    <t xml:space="preserve">Heatmap pengeluaran</t>
  </si>
  <si>
    <t xml:space="preserve">Threads</t>
  </si>
  <si>
    <t xml:space="preserve">Cocok dengan Kalender Uang.</t>
  </si>
  <si>
    <t xml:space="preserve">Audit trail perubahan</t>
  </si>
  <si>
    <t xml:space="preserve">Wajib sebelum fitur berbagi.</t>
  </si>
  <si>
    <t xml:space="preserve">Ruang bersama (pasangan/keluarga/bisnis)</t>
  </si>
  <si>
    <t xml:space="preserve">Household [SS]</t>
  </si>
  <si>
    <t xml:space="preserve">Spaces [Web]</t>
  </si>
  <si>
    <t xml:space="preserve">Tunda sampai isolasi data per pengguna teruji.</t>
  </si>
  <si>
    <t xml:space="preserve">Kode undangan anggota</t>
  </si>
  <si>
    <t xml:space="preserve">Terlihat di Household [SS]</t>
  </si>
  <si>
    <t xml:space="preserve">Hak akses per anggota</t>
  </si>
  <si>
    <t xml:space="preserve">'sesuai hak akses mereka' [SS]</t>
  </si>
  <si>
    <t xml:space="preserve">Notifikasi saat anggota mencatat</t>
  </si>
  <si>
    <t xml:space="preserve">Agenda bersama</t>
  </si>
  <si>
    <t xml:space="preserve">Date strip + agenda [SS]</t>
  </si>
  <si>
    <t xml:space="preserve">Tugas, target, catatan bersama</t>
  </si>
  <si>
    <t xml:space="preserve">Tab Tugas, Target, Catatan [SS]</t>
  </si>
  <si>
    <t xml:space="preserve">Daftar kebutuhan/belanja bersama</t>
  </si>
  <si>
    <t xml:space="preserve">Contoh: Beras 5 kg, Telur, Sabun cuci; mencentang tidak membuat transaksi [SS]</t>
  </si>
  <si>
    <t xml:space="preserve">Shopping tracker masih rencana</t>
  </si>
  <si>
    <t xml:space="preserve">MELD tanpa harga. Beda kita: estimasi vs aktual dan saran bulanan.</t>
  </si>
  <si>
    <t xml:space="preserve">Bagikan template budget/transaksi</t>
  </si>
  <si>
    <t xml:space="preserve">Play: share blueprint budget, share transaksi</t>
  </si>
  <si>
    <t xml:space="preserve">Komunitas</t>
  </si>
  <si>
    <t xml:space="preserve">Menu Komunitas [SS]</t>
  </si>
  <si>
    <t xml:space="preserve">PIN / biometrik / auto-lock</t>
  </si>
  <si>
    <t xml:space="preserve">Ada di aplikasi, tidak di web (kata pengaturan) [SS]</t>
  </si>
  <si>
    <t xml:space="preserve">Mode lokal tanpa akun</t>
  </si>
  <si>
    <t xml:space="preserve">Memakai akun email [SS]</t>
  </si>
  <si>
    <t xml:space="preserve">Mode lokal opsional [Web]</t>
  </si>
  <si>
    <t xml:space="preserve">Pemrosesan teks di perangkat</t>
  </si>
  <si>
    <t xml:space="preserve">On-device bila bisa; AI cloud tetap dipakai [Web]</t>
  </si>
  <si>
    <t xml:space="preserve">Parser di klien; data dan hints di server</t>
  </si>
  <si>
    <t xml:space="preserve">Klaim yang bisa dibuktikan.</t>
  </si>
  <si>
    <t xml:space="preserve">Hapus akun &amp; ekspor data di aplikasi</t>
  </si>
  <si>
    <t xml:space="preserve">Penghapusan lewat email [Web]</t>
  </si>
  <si>
    <t xml:space="preserve">Halaman 'Jejak Data' (apa yang keluar ke mana)</t>
  </si>
  <si>
    <t xml:space="preserve">Pembeda unik soal kepercayaan.</t>
  </si>
  <si>
    <t xml:space="preserve">Aplikasi Android</t>
  </si>
  <si>
    <t xml:space="preserve">Play id.my.meld.twa [Play]</t>
  </si>
  <si>
    <t xml:space="preserve">Screenshot Android [SS]</t>
  </si>
  <si>
    <t xml:space="preserve">Aplikasi iOS</t>
  </si>
  <si>
    <t xml:space="preserve">App Store [Web]</t>
  </si>
  <si>
    <t xml:space="preserve">PWA / instal dari browser</t>
  </si>
  <si>
    <t xml:space="preserve">Tombol 'Install MELD' [SS]</t>
  </si>
  <si>
    <t xml:space="preserve">Web app [Web]</t>
  </si>
  <si>
    <t xml:space="preserve">Ikon instal terlihat di bilah alamat screenshot Anda</t>
  </si>
  <si>
    <t xml:space="preserve">Verifikasi manifest dan shortcuts.</t>
  </si>
  <si>
    <t xml:space="preserve">Mode gelap / tema</t>
  </si>
  <si>
    <t xml:space="preserve">Toggle bulan; tema kustom [SS,Play]</t>
  </si>
  <si>
    <t xml:space="preserve">Dark mode [SS]</t>
  </si>
  <si>
    <t xml:space="preserve">Pencarian di pengaturan</t>
  </si>
  <si>
    <t xml:space="preserve">'Cari: tema, PIN, mata uang...' dengan pintasan '/' [SS]</t>
  </si>
  <si>
    <t xml:space="preserve">UI Bahasa Indonesia konsisten</t>
  </si>
  <si>
    <t xml:space="preserve">Campur: Add Subscription, Weekly Expenses, kutipan Inggris, contoh $10 [SS]</t>
  </si>
  <si>
    <t xml:space="preserve">Ada pengaturan bahasa EN [SS]</t>
  </si>
  <si>
    <t xml:space="preserve">Campur Inggris/Indonesia (review)</t>
  </si>
  <si>
    <t xml:space="preserve">Indonesia penuh bisa jadi pembeda.</t>
  </si>
  <si>
    <t xml:space="preserve">Gamifikasi &amp; maskot</t>
  </si>
  <si>
    <t xml:space="preserve">'1 dari 67 lencana', Kebun Meld, kucing piksel [SS]</t>
  </si>
  <si>
    <t xml:space="preserve">Cocok dengan tema pastel dan streak ramah.</t>
  </si>
  <si>
    <t xml:space="preserve">Tutorial video terstruktur</t>
  </si>
  <si>
    <t xml:space="preserve">Seri 'Boss Keuangan' 0/31 [SS]</t>
  </si>
  <si>
    <t xml:space="preserve">Paket Pro berbayar</t>
  </si>
  <si>
    <t xml:space="preserve">'Upgrade ke Pro'; sekitar Rp100rb/tahun [SS,Thr]</t>
  </si>
  <si>
    <t xml:space="preserve">Pro [Web]</t>
  </si>
  <si>
    <t xml:space="preserve">Referral &amp; program kreator</t>
  </si>
  <si>
    <t xml:space="preserve">Meldfiliate: Rp100/pendaftar, Rp10.000/Pro Tahunan, minimum cair Rp100.000 [SS]</t>
  </si>
  <si>
    <t xml:space="preserve">Insentif per pendaftar kecil (1.000 pendaftar untuk mencapai minimum).</t>
  </si>
  <si>
    <t xml:space="preserve">Konten &amp; komunitas media sosial</t>
  </si>
  <si>
    <t xml:space="preserve">Threads/Instagram [Thr]</t>
  </si>
  <si>
    <t xml:space="preserve">Founder aktif membangun terbuka [Web]</t>
  </si>
  <si>
    <t xml:space="preserve">Perencanaan belanja: estimasi vs aktual</t>
  </si>
  <si>
    <t xml:space="preserve">Daftar kebutuhan tanpa harga [SS]</t>
  </si>
  <si>
    <t xml:space="preserve">Banding harga marketplace / harga acuan</t>
  </si>
  <si>
    <t xml:space="preserve">Mulai dari tautan pencarian dan harga acuan; AI belakangan.</t>
  </si>
  <si>
    <t xml:space="preserve">Saran belanja bulanan dari riwayat</t>
  </si>
  <si>
    <t xml:space="preserve">Wishlist + masa tunggu + dampak ke budget</t>
  </si>
  <si>
    <t xml:space="preserve">Feed ICS / tambah ke Google Calendar</t>
  </si>
  <si>
    <t xml:space="preserve">Agenda internal, tanpa sinkron kalender luar terlihat [SS]</t>
  </si>
  <si>
    <t xml:space="preserve">Default tanpa nominal.</t>
  </si>
  <si>
    <t xml:space="preserve">Kalender uang (prakiraan saldo harian)</t>
  </si>
  <si>
    <t xml:space="preserve">Deteksi tagihan ganda</t>
  </si>
  <si>
    <t xml:space="preserve">Deteksi langganan terlupakan dari riwayat</t>
  </si>
  <si>
    <t xml:space="preserve">Temuan dari screenshot MELD (akun gratis, data kosong)</t>
  </si>
  <si>
    <t xml:space="preserve">Jenis</t>
  </si>
  <si>
    <t xml:space="preserve">Temuan</t>
  </si>
  <si>
    <t xml:space="preserve">Bukti</t>
  </si>
  <si>
    <t xml:space="preserve">Pelajaran untuk aplikasi kita</t>
  </si>
  <si>
    <t xml:space="preserve">Kelebihan</t>
  </si>
  <si>
    <t xml:space="preserve">Smart Budget berupa wizard 5 langkah: gaji, sortir, bagi, target, struk. Ada 'resep' bernama karakter (Si Seimbang, Si Pejuang Cuan, Si Anak Kota, Si Pelunas).</t>
  </si>
  <si>
    <t xml:space="preserve">/budgets, langkah 1-4</t>
  </si>
  <si>
    <t xml:space="preserve">Budgeting terasa seperti cerita, bukan formulir. Tiru strukturnya, buat nama dan resep sendiri.</t>
  </si>
  <si>
    <t xml:space="preserve">Kategori disortir otomatis ke Kebutuhan/Keinginan dengan label 'tebakan' agar pengguna memeriksa sekaligus.</t>
  </si>
  <si>
    <t xml:space="preserve">Langkah 'Sortir': '7 ditebak otomatis, cek sekalian'</t>
  </si>
  <si>
    <t xml:space="preserve">Tampilkan tebakan sebagai tebakan. Sejalan dengan prinsip 'saran, bukan isi paksa'.</t>
  </si>
  <si>
    <t xml:space="preserve">Batas aman harian per kelompok (Rp500.0K/hari) dengan penanda 'posisi aman hari ini' dan toples visual.</t>
  </si>
  <si>
    <t xml:space="preserve">/budgets</t>
  </si>
  <si>
    <t xml:space="preserve">Ide 'Uang Aman Harian' sudah ada. Pembeda kita: kurangi tagihan dan langganan yang akan datang.</t>
  </si>
  <si>
    <t xml:space="preserve">Household memberi catatan jujur: mencentang barang tidak membuat transaksi; nominal dicatat saat pembelian benar-benar terjadi.</t>
  </si>
  <si>
    <t xml:space="preserve">Tab Kebutuhan</t>
  </si>
  <si>
    <t xml:space="preserve">Pisahkan rencana belanja dari transaksi nyata, lalu jembatani dengan draf.</t>
  </si>
  <si>
    <t xml:space="preserve">Form langganan lengkap: logo layanan, siklus, hari tagih 1-31, pengingat 1/2/3/5/7 hari + kustom, tanggal tagih berikutnya.</t>
  </si>
  <si>
    <t xml:space="preserve">/subscriptions</t>
  </si>
  <si>
    <t xml:space="preserve">Fitur kecil yang sangat konkret. Mudah ditiru dalam beberapa hari.</t>
  </si>
  <si>
    <t xml:space="preserve">Gamifikasi menyeluruh: Paspor (lencana), Kebun Meld, maskot kucing piksel, seri tutorial 'Boss Keuangan'.</t>
  </si>
  <si>
    <t xml:space="preserve">/settings, sidebar, tutorial</t>
  </si>
  <si>
    <t xml:space="preserve">Retensi lewat rasa progres. Cocok dengan tema pastel kita, tetapi jaga agar tidak membuat bersalah.</t>
  </si>
  <si>
    <t xml:space="preserve">Pencarian di Pengaturan dengan pintasan '/', serta tombol Install PWA di sidebar.</t>
  </si>
  <si>
    <t xml:space="preserve">/settings</t>
  </si>
  <si>
    <t xml:space="preserve">Murah dan terasa matang.</t>
  </si>
  <si>
    <t xml:space="preserve">Program referral dua tingkat plus program kreator (badge verified, landing khusus, revenue share).</t>
  </si>
  <si>
    <t xml:space="preserve">/meldfiliate</t>
  </si>
  <si>
    <t xml:space="preserve">Saluran akuisisi yang terbukti di Threads. Wajib ada pengungkapan kerja sama berbayar.</t>
  </si>
  <si>
    <t xml:space="preserve">Kekurangan</t>
  </si>
  <si>
    <t xml:space="preserve">Campuran Inggris dan Indonesia: form langganan, grafik (Weekly Expenses, Income vs Expenses), kutipan Franklin, contoh '$10 a week'.</t>
  </si>
  <si>
    <t xml:space="preserve">/subscriptions, /charts, /plan</t>
  </si>
  <si>
    <t xml:space="preserve">Peluang: UI Indonesia penuh dan konsisten.</t>
  </si>
  <si>
    <t xml:space="preserve">Daftar layanan langganan yang terlihat condong ke AS (Hulu, Peacock, Paramount+, Crunchyroll, Twitch); layanan Indonesia tidak tampak.</t>
  </si>
  <si>
    <t xml:space="preserve">Isi dengan layanan yang benar-benar dipakai orang Indonesia.</t>
  </si>
  <si>
    <t xml:space="preserve">Statistik pemasaran tanpa sumber di halaman Rencana (80%, 3-6x, 65%).</t>
  </si>
  <si>
    <t xml:space="preserve">/plan</t>
  </si>
  <si>
    <t xml:space="preserve">Jangan menampilkan angka klaim tanpa sumber, terutama di aplikasi keuangan.</t>
  </si>
  <si>
    <t xml:space="preserve">Menu sangat panjang dengan banyak badge (NEW, SOON, titik merah) dan banner Upgrade Pro permanen.</t>
  </si>
  <si>
    <t xml:space="preserve">Sidebar</t>
  </si>
  <si>
    <t xml:space="preserve">Banyak titik masuk. Kita bisa tampil lebih tenang.</t>
  </si>
  <si>
    <t xml:space="preserve">'6 belum ditempel': kategori bawaan belum masuk Smart Budget, menambah pekerjaan setup.</t>
  </si>
  <si>
    <t xml:space="preserve">/categories</t>
  </si>
  <si>
    <t xml:space="preserve">Petakan kategori ke kelompok saat onboarding.</t>
  </si>
  <si>
    <t xml:space="preserve">Pesan AI tidak konsisten: listing menyebut AI gratis, tetapi fitur bot (voice, scan, AI otomatis) terkunci Pro di web.</t>
  </si>
  <si>
    <t xml:space="preserve">/addons vs Play</t>
  </si>
  <si>
    <t xml:space="preserve">Jelaskan dengan tegas apa yang gratis dan apa yang berbayar.</t>
  </si>
  <si>
    <t xml:space="preserve">Insentif referral kecil: Rp100 per pendaftar dengan minimum cair Rp100.000 (sekitar 1.000 pendaftar).</t>
  </si>
  <si>
    <t xml:space="preserve">Insentif berbasis pembelian Pro Tahunan (Rp10.000) lebih realistis.</t>
  </si>
  <si>
    <t xml:space="preserve">PIN, sidik jari, dan auto-lock tidak tersedia di web.</t>
  </si>
  <si>
    <t xml:space="preserve">Jika kita web saja, jelaskan batasan dan tawarkan kunci aplikasi berbasis WebAuthn.</t>
  </si>
  <si>
    <t xml:space="preserve">Catatan</t>
  </si>
  <si>
    <t xml:space="preserve">Screenshot memuat email akun, kode undangan household, dan kode referral. Jangan dibagikan tanpa disamarkan.</t>
  </si>
  <si>
    <t xml:space="preserve">Screenshot 1-19</t>
  </si>
  <si>
    <t xml:space="preserve">Kode undangan dapat dipakai orang lain untuk bergabung.</t>
  </si>
  <si>
    <t xml:space="preserve">Cara membaca dan batasan</t>
  </si>
  <si>
    <t xml:space="preserve">Ada = terlihat langsung di screenshot atau halaman resmi. Ada (klaim) = hanya disebut di listing Play Store atau postingan Threads. Pro = terlihat tetapi terkunci berbayar. Sebagian = ada tetapi belum utuh atau belum terverifikasi. Tidak terlihat = tidak muncul di layar yang saya lihat (bukan bukti tidak ada). Perlu cek = layar terkait belum saya lihat.</t>
  </si>
  <si>
    <t xml:space="preserve">Tag bukti</t>
  </si>
  <si>
    <t xml:space="preserve">[SS] screenshot Anda. [Web] halaman resmi Monveo. [Play] listing Play Store MELD. [Thr] cuplikan Threads. [Log] log agent Hermes, klaim yang belum diverifikasi.</t>
  </si>
  <si>
    <t xml:space="preserve">Jumlah pesaing (0-2) dengan status Ada, Ada (klaim), atau Pro. Sebagian tidak dihitung.</t>
  </si>
  <si>
    <t xml:space="preserve">GAP BESAR: dua pesaing punya, kita belum/sebagian. GAP: satu pesaing punya. KEUNGGULAN UNIK: hanya kita yang Ada dan kedua pesaing dipastikan belum punya. CEK PESAING: kita Ada tetapi pesaing masih Perlu cek. PELUANG: pesaing dipastikan belum punya. PELUANG (cek): belum terlihat di pesaing, tetapi salah satunya masih Perlu cek. VERIFIKASI: status kita belum diisi.</t>
  </si>
  <si>
    <t xml:space="preserve">Batas 1</t>
  </si>
  <si>
    <t xml:space="preserve">Akun MELD yang dilihat adalah akun gratis dengan data kosong. Fitur berbayar hanya terlihat sebagai label terkunci, dan isi analitik, AI, serta kesehatan finansial belum dinilai.</t>
  </si>
  <si>
    <t xml:space="preserve">Batas 2</t>
  </si>
  <si>
    <t xml:space="preserve">Untuk Monveo saya memakai halaman resmi dan screenshot Android yang Anda kirim sebelumnya. Layar tambah transaksi dan analitik Monveo belum terlihat penuh.</t>
  </si>
  <si>
    <t xml:space="preserve">Batas 3</t>
  </si>
  <si>
    <t xml:space="preserve">Untuk aplikasi Anda saya hanya mengetahui layar tambah transaksi, log agent, dan review sebelumnya. Banyak status 'Perlu cek' di kolom kita karena saya belum melihat layarnya. Isi sendiri dan sheet Ringkasan akan menghitung ulang.</t>
  </si>
  <si>
    <t xml:space="preserve">Batas 4</t>
  </si>
  <si>
    <t xml:space="preserve">Daftar fitur dan harga pesaing dapat berubah. Ini potret per 26 Oktober 2026.</t>
  </si>
</sst>
</file>

<file path=xl/styles.xml><?xml version="1.0" encoding="utf-8"?>
<styleSheet xmlns="http://schemas.openxmlformats.org/spreadsheetml/2006/main">
  <numFmts count="3">
    <numFmt numFmtId="164" formatCode="General"/>
    <numFmt numFmtId="165" formatCode="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BDD7EE"/>
          <bgColor rgb="FF000000"/>
        </patternFill>
      </fill>
    </dxf>
    <dxf>
      <fill>
        <patternFill patternType="solid">
          <fgColor rgb="FFFF9999"/>
          <bgColor rgb="FF000000"/>
        </patternFill>
      </fill>
    </dxf>
    <dxf>
      <fill>
        <patternFill patternType="solid">
          <fgColor rgb="FFFFF2CC"/>
          <bgColor rgb="FF000000"/>
        </patternFill>
      </fill>
    </dxf>
    <dxf>
      <fill>
        <patternFill>
          <bgColor rgb="FFC6EFCE"/>
        </patternFill>
      </fill>
    </dxf>
    <dxf>
      <fill>
        <patternFill>
          <bgColor rgb="FFE2EFDA"/>
        </patternFill>
      </fill>
    </dxf>
    <dxf>
      <fill>
        <patternFill>
          <bgColor rgb="FFDDEBF7"/>
        </patternFill>
      </fill>
    </dxf>
    <dxf>
      <fill>
        <patternFill>
          <bgColor rgb="FFFFEB9C"/>
        </patternFill>
      </fill>
    </dxf>
    <dxf>
      <fill>
        <patternFill>
          <bgColor rgb="FFF8CBAD"/>
        </patternFill>
      </fill>
    </dxf>
    <dxf>
      <fill>
        <patternFill>
          <bgColor rgb="FFFFFF00"/>
        </patternFill>
      </fill>
    </dxf>
    <dxf>
      <fill>
        <patternFill>
          <bgColor rgb="FFFF9999"/>
        </patternFill>
      </fill>
    </dxf>
    <dxf>
      <fill>
        <patternFill>
          <bgColor rgb="FF9BE3C0"/>
        </patternFill>
      </fill>
    </dxf>
    <dxf>
      <fill>
        <patternFill>
          <bgColor rgb="FFBDD7EE"/>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2EFDA"/>
      <rgbColor rgb="FFC6EFCE"/>
      <rgbColor rgb="FFFFEB9C"/>
      <rgbColor rgb="FF9BE3C0"/>
      <rgbColor rgb="FFFF9999"/>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22"/>
    <col collapsed="false" customWidth="true" hidden="false" outlineLevel="0" max="4" min="4" style="0" width="3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4" t="n">
        <f aca="false">COUNTIF('Matriks Fitur'!$D$5:$D$86,$A5)</f>
        <v>35</v>
      </c>
      <c r="C5" s="4" t="n">
        <f aca="false">COUNTIF('Matriks Fitur'!$F$5:$F$86,$A5)</f>
        <v>32</v>
      </c>
      <c r="D5" s="4" t="n">
        <f aca="false">COUNTIF('Matriks Fitur'!$H$5:$H$86,$A5)</f>
        <v>4</v>
      </c>
    </row>
    <row r="6" customFormat="false" ht="15" hidden="false" customHeight="false" outlineLevel="0" collapsed="false">
      <c r="A6" s="4" t="s">
        <v>7</v>
      </c>
      <c r="B6" s="4" t="n">
        <f aca="false">COUNTIF('Matriks Fitur'!$D$5:$D$86,$A6)</f>
        <v>18</v>
      </c>
      <c r="C6" s="4" t="n">
        <f aca="false">COUNTIF('Matriks Fitur'!$F$5:$F$86,$A6)</f>
        <v>1</v>
      </c>
      <c r="D6" s="4" t="n">
        <f aca="false">COUNTIF('Matriks Fitur'!$H$5:$H$86,$A6)</f>
        <v>0</v>
      </c>
    </row>
    <row r="7" customFormat="false" ht="15" hidden="false" customHeight="false" outlineLevel="0" collapsed="false">
      <c r="A7" s="4" t="s">
        <v>8</v>
      </c>
      <c r="B7" s="4" t="n">
        <f aca="false">COUNTIF('Matriks Fitur'!$D$5:$D$86,$A7)</f>
        <v>4</v>
      </c>
      <c r="C7" s="4" t="n">
        <f aca="false">COUNTIF('Matriks Fitur'!$F$5:$F$86,$A7)</f>
        <v>1</v>
      </c>
      <c r="D7" s="4" t="n">
        <f aca="false">COUNTIF('Matriks Fitur'!$H$5:$H$86,$A7)</f>
        <v>0</v>
      </c>
    </row>
    <row r="8" customFormat="false" ht="15" hidden="false" customHeight="false" outlineLevel="0" collapsed="false">
      <c r="A8" s="4" t="s">
        <v>9</v>
      </c>
      <c r="B8" s="4" t="n">
        <f aca="false">COUNTIF('Matriks Fitur'!$D$5:$D$86,$A8)</f>
        <v>2</v>
      </c>
      <c r="C8" s="4" t="n">
        <f aca="false">COUNTIF('Matriks Fitur'!$F$5:$F$86,$A8)</f>
        <v>2</v>
      </c>
      <c r="D8" s="4" t="n">
        <f aca="false">COUNTIF('Matriks Fitur'!$H$5:$H$86,$A8)</f>
        <v>8</v>
      </c>
    </row>
    <row r="9" customFormat="false" ht="15" hidden="false" customHeight="false" outlineLevel="0" collapsed="false">
      <c r="A9" s="4" t="s">
        <v>10</v>
      </c>
      <c r="B9" s="4" t="n">
        <f aca="false">COUNTIF('Matriks Fitur'!$D$5:$D$86,$A9)</f>
        <v>9</v>
      </c>
      <c r="C9" s="4" t="n">
        <f aca="false">COUNTIF('Matriks Fitur'!$F$5:$F$86,$A9)</f>
        <v>29</v>
      </c>
      <c r="D9" s="4" t="n">
        <f aca="false">COUNTIF('Matriks Fitur'!$H$5:$H$86,$A9)</f>
        <v>57</v>
      </c>
    </row>
    <row r="10" customFormat="false" ht="15" hidden="false" customHeight="false" outlineLevel="0" collapsed="false">
      <c r="A10" s="4" t="s">
        <v>11</v>
      </c>
      <c r="B10" s="4" t="n">
        <f aca="false">COUNTIF('Matriks Fitur'!$D$5:$D$86,$A10)</f>
        <v>14</v>
      </c>
      <c r="C10" s="4" t="n">
        <f aca="false">COUNTIF('Matriks Fitur'!$F$5:$F$86,$A10)</f>
        <v>17</v>
      </c>
      <c r="D10" s="4" t="n">
        <f aca="false">COUNTIF('Matriks Fitur'!$H$5:$H$86,$A10)</f>
        <v>13</v>
      </c>
    </row>
    <row r="11" customFormat="false" ht="15" hidden="false" customHeight="false" outlineLevel="0" collapsed="false">
      <c r="A11" s="5" t="s">
        <v>12</v>
      </c>
      <c r="B11" s="5" t="n">
        <f aca="false">SUM(B5:B10)</f>
        <v>82</v>
      </c>
      <c r="C11" s="5" t="n">
        <f aca="false">SUM(C5:C10)</f>
        <v>82</v>
      </c>
      <c r="D11" s="5" t="n">
        <f aca="false">SUM(D5:D10)</f>
        <v>82</v>
      </c>
    </row>
    <row r="12" customFormat="false" ht="15" hidden="false" customHeight="false" outlineLevel="0" collapsed="false">
      <c r="A12" s="5" t="s">
        <v>13</v>
      </c>
      <c r="B12" s="6" t="n">
        <f aca="false">IF(B11=0,0,(B5+B6+B7)/B11)</f>
        <v>0.695121951219512</v>
      </c>
      <c r="C12" s="6" t="n">
        <f aca="false">IF(C11=0,0,(C5+C6+C7)/C11)</f>
        <v>0.414634146341463</v>
      </c>
      <c r="D12" s="6" t="n">
        <f aca="false">IF(D11=0,0,(D5+D6+D7)/D11)</f>
        <v>0.0487804878048781</v>
      </c>
    </row>
    <row r="15" customFormat="false" ht="15" hidden="false" customHeight="false" outlineLevel="0" collapsed="false">
      <c r="A15" s="3" t="s">
        <v>14</v>
      </c>
      <c r="B15" s="3" t="s">
        <v>15</v>
      </c>
      <c r="C15" s="3"/>
      <c r="D15" s="3"/>
    </row>
    <row r="16" customFormat="false" ht="15" hidden="false" customHeight="false" outlineLevel="0" collapsed="false">
      <c r="A16" s="5" t="s">
        <v>16</v>
      </c>
      <c r="B16" s="4" t="n">
        <f aca="false">COUNTIF('Matriks Fitur'!$K$5:$K$86,A16)</f>
        <v>15</v>
      </c>
      <c r="C16" s="2" t="s">
        <v>17</v>
      </c>
    </row>
    <row r="17" customFormat="false" ht="15" hidden="false" customHeight="false" outlineLevel="0" collapsed="false">
      <c r="A17" s="5" t="s">
        <v>18</v>
      </c>
      <c r="B17" s="4" t="n">
        <f aca="false">COUNTIF('Matriks Fitur'!$K$5:$K$86,A17)</f>
        <v>36</v>
      </c>
      <c r="C17" s="2" t="s">
        <v>19</v>
      </c>
    </row>
    <row r="18" customFormat="false" ht="15" hidden="false" customHeight="false" outlineLevel="0" collapsed="false">
      <c r="A18" s="5" t="s">
        <v>20</v>
      </c>
      <c r="B18" s="4" t="n">
        <f aca="false">COUNTIF('Matriks Fitur'!$K$5:$K$86,A18)</f>
        <v>13</v>
      </c>
      <c r="C18" s="2" t="s">
        <v>21</v>
      </c>
    </row>
    <row r="19" customFormat="false" ht="15" hidden="false" customHeight="false" outlineLevel="0" collapsed="false">
      <c r="A19" s="5" t="s">
        <v>22</v>
      </c>
      <c r="B19" s="4" t="n">
        <f aca="false">COUNTIF('Matriks Fitur'!$K$5:$K$86,A19)</f>
        <v>3</v>
      </c>
      <c r="C19" s="2" t="s">
        <v>23</v>
      </c>
    </row>
    <row r="20" customFormat="false" ht="15" hidden="false" customHeight="false" outlineLevel="0" collapsed="false">
      <c r="A20" s="5" t="s">
        <v>24</v>
      </c>
      <c r="B20" s="4" t="n">
        <f aca="false">COUNTIF('Matriks Fitur'!$K$5:$K$86,A20)</f>
        <v>0</v>
      </c>
      <c r="C20" s="2" t="s">
        <v>25</v>
      </c>
    </row>
    <row r="21" customFormat="false" ht="15" hidden="false" customHeight="false" outlineLevel="0" collapsed="false">
      <c r="A21" s="5" t="s">
        <v>26</v>
      </c>
      <c r="B21" s="4" t="n">
        <f aca="false">COUNTIF('Matriks Fitur'!$K$5:$K$86,A21)</f>
        <v>1</v>
      </c>
      <c r="C21" s="2" t="s">
        <v>27</v>
      </c>
    </row>
    <row r="22" customFormat="false" ht="15" hidden="false" customHeight="false" outlineLevel="0" collapsed="false">
      <c r="A22" s="5" t="s">
        <v>28</v>
      </c>
      <c r="B22" s="4" t="n">
        <f aca="false">COUNTIF('Matriks Fitur'!$K$5:$K$86,A22)</f>
        <v>9</v>
      </c>
      <c r="C22" s="2" t="s">
        <v>29</v>
      </c>
    </row>
    <row r="23" customFormat="false" ht="15" hidden="false" customHeight="false" outlineLevel="0" collapsed="false">
      <c r="A23" s="5" t="s">
        <v>30</v>
      </c>
      <c r="B23" s="4" t="n">
        <f aca="false">COUNTIF('Matriks Fitur'!$K$5:$K$86,A23)</f>
        <v>5</v>
      </c>
      <c r="C23" s="2" t="s">
        <v>31</v>
      </c>
    </row>
    <row r="26" customFormat="false" ht="15" hidden="false" customHeight="false" outlineLevel="0" collapsed="false">
      <c r="A26" s="3" t="s">
        <v>32</v>
      </c>
      <c r="B26" s="3" t="s">
        <v>33</v>
      </c>
      <c r="C26" s="3" t="s">
        <v>34</v>
      </c>
      <c r="D26" s="3" t="s">
        <v>35</v>
      </c>
    </row>
    <row r="27" customFormat="false" ht="15" hidden="false" customHeight="false" outlineLevel="0" collapsed="false">
      <c r="A27" s="4" t="s">
        <v>36</v>
      </c>
      <c r="B27" s="4" t="n">
        <f aca="false">COUNTIF('Matriks Fitur'!$B$5:$B$86,A27)</f>
        <v>18</v>
      </c>
      <c r="C27" s="4" t="n">
        <f aca="false">COUNTIFS('Matriks Fitur'!$B$5:$B$86,A27,'Matriks Fitur'!$K$5:$K$86,"GAP*")</f>
        <v>12</v>
      </c>
      <c r="D27" s="4" t="n">
        <f aca="false">COUNTIFS('Matriks Fitur'!$B$5:$B$86,A27,'Matriks Fitur'!$K$5:$K$86,"GAP*",'Matriks Fitur'!$L$5:$L$86,"Tinggi")</f>
        <v>4</v>
      </c>
    </row>
    <row r="28" customFormat="false" ht="15" hidden="false" customHeight="false" outlineLevel="0" collapsed="false">
      <c r="A28" s="4" t="s">
        <v>37</v>
      </c>
      <c r="B28" s="4" t="n">
        <f aca="false">COUNTIF('Matriks Fitur'!$B$5:$B$86,A28)</f>
        <v>10</v>
      </c>
      <c r="C28" s="4" t="n">
        <f aca="false">COUNTIFS('Matriks Fitur'!$B$5:$B$86,A28,'Matriks Fitur'!$K$5:$K$86,"GAP*")</f>
        <v>6</v>
      </c>
      <c r="D28" s="4" t="n">
        <f aca="false">COUNTIFS('Matriks Fitur'!$B$5:$B$86,A28,'Matriks Fitur'!$K$5:$K$86,"GAP*",'Matriks Fitur'!$L$5:$L$86,"Tinggi")</f>
        <v>2</v>
      </c>
    </row>
    <row r="29" customFormat="false" ht="15" hidden="false" customHeight="false" outlineLevel="0" collapsed="false">
      <c r="A29" s="4" t="s">
        <v>38</v>
      </c>
      <c r="B29" s="4" t="n">
        <f aca="false">COUNTIF('Matriks Fitur'!$B$5:$B$86,A29)</f>
        <v>8</v>
      </c>
      <c r="C29" s="4" t="n">
        <f aca="false">COUNTIFS('Matriks Fitur'!$B$5:$B$86,A29,'Matriks Fitur'!$K$5:$K$86,"GAP*")</f>
        <v>6</v>
      </c>
      <c r="D29" s="4" t="n">
        <f aca="false">COUNTIFS('Matriks Fitur'!$B$5:$B$86,A29,'Matriks Fitur'!$K$5:$K$86,"GAP*",'Matriks Fitur'!$L$5:$L$86,"Tinggi")</f>
        <v>2</v>
      </c>
    </row>
    <row r="30" customFormat="false" ht="15" hidden="false" customHeight="false" outlineLevel="0" collapsed="false">
      <c r="A30" s="4" t="s">
        <v>39</v>
      </c>
      <c r="B30" s="4" t="n">
        <f aca="false">COUNTIF('Matriks Fitur'!$B$5:$B$86,A30)</f>
        <v>9</v>
      </c>
      <c r="C30" s="4" t="n">
        <f aca="false">COUNTIFS('Matriks Fitur'!$B$5:$B$86,A30,'Matriks Fitur'!$K$5:$K$86,"GAP*")</f>
        <v>6</v>
      </c>
      <c r="D30" s="4" t="n">
        <f aca="false">COUNTIFS('Matriks Fitur'!$B$5:$B$86,A30,'Matriks Fitur'!$K$5:$K$86,"GAP*",'Matriks Fitur'!$L$5:$L$86,"Tinggi")</f>
        <v>2</v>
      </c>
    </row>
    <row r="31" customFormat="false" ht="15" hidden="false" customHeight="false" outlineLevel="0" collapsed="false">
      <c r="A31" s="4" t="s">
        <v>40</v>
      </c>
      <c r="B31" s="4" t="n">
        <f aca="false">COUNTIF('Matriks Fitur'!$B$5:$B$86,A31)</f>
        <v>4</v>
      </c>
      <c r="C31" s="4" t="n">
        <f aca="false">COUNTIFS('Matriks Fitur'!$B$5:$B$86,A31,'Matriks Fitur'!$K$5:$K$86,"GAP*")</f>
        <v>3</v>
      </c>
      <c r="D31" s="4" t="n">
        <f aca="false">COUNTIFS('Matriks Fitur'!$B$5:$B$86,A31,'Matriks Fitur'!$K$5:$K$86,"GAP*",'Matriks Fitur'!$L$5:$L$86,"Tinggi")</f>
        <v>0</v>
      </c>
    </row>
    <row r="32" customFormat="false" ht="15" hidden="false" customHeight="false" outlineLevel="0" collapsed="false">
      <c r="A32" s="4" t="s">
        <v>41</v>
      </c>
      <c r="B32" s="4" t="n">
        <f aca="false">COUNTIF('Matriks Fitur'!$B$5:$B$86,A32)</f>
        <v>9</v>
      </c>
      <c r="C32" s="4" t="n">
        <f aca="false">COUNTIFS('Matriks Fitur'!$B$5:$B$86,A32,'Matriks Fitur'!$K$5:$K$86,"GAP*")</f>
        <v>9</v>
      </c>
      <c r="D32" s="4" t="n">
        <f aca="false">COUNTIFS('Matriks Fitur'!$B$5:$B$86,A32,'Matriks Fitur'!$K$5:$K$86,"GAP*",'Matriks Fitur'!$L$5:$L$86,"Tinggi")</f>
        <v>1</v>
      </c>
    </row>
    <row r="33" customFormat="false" ht="15" hidden="false" customHeight="false" outlineLevel="0" collapsed="false">
      <c r="A33" s="4" t="s">
        <v>42</v>
      </c>
      <c r="B33" s="4" t="n">
        <f aca="false">COUNTIF('Matriks Fitur'!$B$5:$B$86,A33)</f>
        <v>5</v>
      </c>
      <c r="C33" s="4" t="n">
        <f aca="false">COUNTIFS('Matriks Fitur'!$B$5:$B$86,A33,'Matriks Fitur'!$K$5:$K$86,"GAP*")</f>
        <v>2</v>
      </c>
      <c r="D33" s="4" t="n">
        <f aca="false">COUNTIFS('Matriks Fitur'!$B$5:$B$86,A33,'Matriks Fitur'!$K$5:$K$86,"GAP*",'Matriks Fitur'!$L$5:$L$86,"Tinggi")</f>
        <v>1</v>
      </c>
    </row>
    <row r="34" customFormat="false" ht="15" hidden="false" customHeight="false" outlineLevel="0" collapsed="false">
      <c r="A34" s="4" t="s">
        <v>43</v>
      </c>
      <c r="B34" s="4" t="n">
        <f aca="false">COUNTIF('Matriks Fitur'!$B$5:$B$86,A34)</f>
        <v>8</v>
      </c>
      <c r="C34" s="4" t="n">
        <f aca="false">COUNTIFS('Matriks Fitur'!$B$5:$B$86,A34,'Matriks Fitur'!$K$5:$K$86,"GAP*")</f>
        <v>4</v>
      </c>
      <c r="D34" s="4" t="n">
        <f aca="false">COUNTIFS('Matriks Fitur'!$B$5:$B$86,A34,'Matriks Fitur'!$K$5:$K$86,"GAP*",'Matriks Fitur'!$L$5:$L$86,"Tinggi")</f>
        <v>0</v>
      </c>
    </row>
    <row r="35" customFormat="false" ht="15" hidden="false" customHeight="false" outlineLevel="0" collapsed="false">
      <c r="A35" s="4" t="s">
        <v>44</v>
      </c>
      <c r="B35" s="4" t="n">
        <f aca="false">COUNTIF('Matriks Fitur'!$B$5:$B$86,A35)</f>
        <v>3</v>
      </c>
      <c r="C35" s="4" t="n">
        <f aca="false">COUNTIFS('Matriks Fitur'!$B$5:$B$86,A35,'Matriks Fitur'!$K$5:$K$86,"GAP*")</f>
        <v>3</v>
      </c>
      <c r="D35" s="4" t="n">
        <f aca="false">COUNTIFS('Matriks Fitur'!$B$5:$B$86,A35,'Matriks Fitur'!$K$5:$K$86,"GAP*",'Matriks Fitur'!$L$5:$L$86,"Tinggi")</f>
        <v>0</v>
      </c>
    </row>
    <row r="36" customFormat="false" ht="15" hidden="false" customHeight="false" outlineLevel="0" collapsed="false">
      <c r="A36" s="4" t="s">
        <v>45</v>
      </c>
      <c r="B36" s="4" t="n">
        <f aca="false">COUNTIF('Matriks Fitur'!$B$5:$B$86,A36)</f>
        <v>8</v>
      </c>
      <c r="C36" s="4" t="n">
        <f aca="false">COUNTIFS('Matriks Fitur'!$B$5:$B$86,A36,'Matriks Fitur'!$K$5:$K$86,"GAP*")</f>
        <v>0</v>
      </c>
      <c r="D36" s="4" t="n">
        <f aca="false">COUNTIFS('Matriks Fitur'!$B$5:$B$86,A36,'Matriks Fitur'!$K$5:$K$86,"GAP*",'Matriks Fitur'!$L$5:$L$86,"Tinggi")</f>
        <v>0</v>
      </c>
    </row>
    <row r="37" customFormat="false" ht="15" hidden="false" customHeight="false" outlineLevel="0" collapsed="false">
      <c r="A37" s="5" t="s">
        <v>33</v>
      </c>
      <c r="B37" s="5" t="n">
        <f aca="false">SUM(B27:B36)</f>
        <v>82</v>
      </c>
      <c r="C37" s="5" t="n">
        <f aca="false">SUM(C27:C36)</f>
        <v>51</v>
      </c>
      <c r="D37" s="5" t="n">
        <f aca="false">SUM(D27:D36)</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6"/>
    <col collapsed="false" customWidth="true" hidden="false" outlineLevel="0" max="4" min="4" style="0" width="13"/>
    <col collapsed="false" customWidth="true" hidden="false" outlineLevel="0" max="5" min="5" style="0" width="44"/>
    <col collapsed="false" customWidth="true" hidden="false" outlineLevel="0" max="6" min="6" style="0" width="13"/>
    <col collapsed="false" customWidth="true" hidden="false" outlineLevel="0" max="7" min="7" style="0" width="40"/>
    <col collapsed="false" customWidth="true" hidden="false" outlineLevel="0" max="8" min="8" style="0" width="14"/>
    <col collapsed="false" customWidth="true" hidden="false" outlineLevel="0" max="9" min="9" style="0" width="40"/>
    <col collapsed="false" customWidth="true" hidden="false" outlineLevel="0" max="10" min="10" style="0" width="10"/>
    <col collapsed="false" customWidth="true" hidden="false" outlineLevel="0" max="11" min="11" style="0" width="16"/>
    <col collapsed="false" customWidth="true" hidden="false" outlineLevel="0" max="12" min="12" style="0" width="12"/>
    <col collapsed="false" customWidth="true" hidden="false" outlineLevel="0" max="13" min="13" style="0" width="44"/>
  </cols>
  <sheetData>
    <row r="1" customFormat="false" ht="17.35" hidden="false" customHeight="false" outlineLevel="0" collapsed="false">
      <c r="A1" s="1" t="s">
        <v>46</v>
      </c>
    </row>
    <row r="2" customFormat="false" ht="15" hidden="false" customHeight="false" outlineLevel="0" collapsed="false">
      <c r="A2" s="2" t="s">
        <v>47</v>
      </c>
    </row>
    <row r="4" customFormat="false" ht="35.05" hidden="false" customHeight="false" outlineLevel="0" collapsed="false">
      <c r="A4" s="7" t="s">
        <v>48</v>
      </c>
      <c r="B4" s="7" t="s">
        <v>49</v>
      </c>
      <c r="C4" s="7" t="s">
        <v>50</v>
      </c>
      <c r="D4" s="7" t="s">
        <v>3</v>
      </c>
      <c r="E4" s="7" t="s">
        <v>51</v>
      </c>
      <c r="F4" s="7" t="s">
        <v>4</v>
      </c>
      <c r="G4" s="7" t="s">
        <v>52</v>
      </c>
      <c r="H4" s="7" t="s">
        <v>53</v>
      </c>
      <c r="I4" s="7" t="s">
        <v>54</v>
      </c>
      <c r="J4" s="7" t="s">
        <v>55</v>
      </c>
      <c r="K4" s="7" t="s">
        <v>56</v>
      </c>
      <c r="L4" s="7" t="s">
        <v>57</v>
      </c>
      <c r="M4" s="7" t="s">
        <v>58</v>
      </c>
    </row>
    <row r="5" customFormat="false" ht="15" hidden="false" customHeight="false" outlineLevel="0" collapsed="false">
      <c r="A5" s="8" t="n">
        <v>1</v>
      </c>
      <c r="B5" s="8" t="s">
        <v>36</v>
      </c>
      <c r="C5" s="8" t="s">
        <v>59</v>
      </c>
      <c r="D5" s="8" t="s">
        <v>6</v>
      </c>
      <c r="E5" s="8" t="s">
        <v>60</v>
      </c>
      <c r="F5" s="8" t="s">
        <v>6</v>
      </c>
      <c r="G5" s="8" t="s">
        <v>61</v>
      </c>
      <c r="H5" s="9" t="s">
        <v>6</v>
      </c>
      <c r="I5" s="8" t="s">
        <v>62</v>
      </c>
      <c r="J5" s="10" t="n">
        <f aca="false">IF(OR(D5="Ada",D5="Ada (klaim)",D5="Pro"),1,0)+IF(OR(F5="Ada",F5="Ada (klaim)",F5="Pro"),1,0)</f>
        <v>2</v>
      </c>
      <c r="K5" s="8" t="str">
        <f aca="false">IF(H5="Perlu cek","VERIFIKASI",IF(J5&gt;0,IF(H5="Ada","Setara",IF(J5=2,"GAP BESAR","GAP")),IF(OR(D5="Perlu cek",F5="Perlu cek"),IF(H5="Ada","CEK PESAING","PELUANG (cek)"),IF(H5="Ada","KEUNGGULAN UNIK","PELUANG"))))</f>
        <v>Setara</v>
      </c>
      <c r="L5" s="9" t="s">
        <v>63</v>
      </c>
      <c r="M5" s="8" t="s">
        <v>64</v>
      </c>
    </row>
    <row r="6" customFormat="false" ht="23.85" hidden="false" customHeight="false" outlineLevel="0" collapsed="false">
      <c r="A6" s="8" t="n">
        <v>2</v>
      </c>
      <c r="B6" s="8" t="s">
        <v>36</v>
      </c>
      <c r="C6" s="8" t="s">
        <v>65</v>
      </c>
      <c r="D6" s="8" t="s">
        <v>7</v>
      </c>
      <c r="E6" s="8" t="s">
        <v>66</v>
      </c>
      <c r="F6" s="8" t="s">
        <v>11</v>
      </c>
      <c r="G6" s="8" t="s">
        <v>67</v>
      </c>
      <c r="H6" s="9" t="s">
        <v>10</v>
      </c>
      <c r="I6" s="8" t="s">
        <v>68</v>
      </c>
      <c r="J6" s="10" t="n">
        <f aca="false">IF(OR(D6="Ada",D6="Ada (klaim)",D6="Pro"),1,0)+IF(OR(F6="Ada",F6="Ada (klaim)",F6="Pro"),1,0)</f>
        <v>1</v>
      </c>
      <c r="K6" s="8" t="str">
        <f aca="false">IF(H6="Perlu cek","VERIFIKASI",IF(J6&gt;0,IF(H6="Ada","Setara",IF(J6=2,"GAP BESAR","GAP")),IF(OR(D6="Perlu cek",F6="Perlu cek"),IF(H6="Ada","CEK PESAING","PELUANG (cek)"),IF(H6="Ada","KEUNGGULAN UNIK","PELUANG"))))</f>
        <v>GAP</v>
      </c>
      <c r="L6" s="9" t="s">
        <v>69</v>
      </c>
      <c r="M6" s="8" t="s">
        <v>70</v>
      </c>
    </row>
    <row r="7" customFormat="false" ht="15" hidden="false" customHeight="false" outlineLevel="0" collapsed="false">
      <c r="A7" s="8" t="n">
        <v>3</v>
      </c>
      <c r="B7" s="8" t="s">
        <v>36</v>
      </c>
      <c r="C7" s="8" t="s">
        <v>71</v>
      </c>
      <c r="D7" s="8" t="s">
        <v>11</v>
      </c>
      <c r="E7" s="8" t="s">
        <v>72</v>
      </c>
      <c r="F7" s="8" t="s">
        <v>11</v>
      </c>
      <c r="G7" s="8" t="s">
        <v>72</v>
      </c>
      <c r="H7" s="9" t="s">
        <v>6</v>
      </c>
      <c r="I7" s="8" t="s">
        <v>73</v>
      </c>
      <c r="J7" s="10" t="n">
        <f aca="false">IF(OR(D7="Ada",D7="Ada (klaim)",D7="Pro"),1,0)+IF(OR(F7="Ada",F7="Ada (klaim)",F7="Pro"),1,0)</f>
        <v>0</v>
      </c>
      <c r="K7" s="8" t="str">
        <f aca="false">IF(H7="Perlu cek","VERIFIKASI",IF(J7&gt;0,IF(H7="Ada","Setara",IF(J7=2,"GAP BESAR","GAP")),IF(OR(D7="Perlu cek",F7="Perlu cek"),IF(H7="Ada","CEK PESAING","PELUANG (cek)"),IF(H7="Ada","KEUNGGULAN UNIK","PELUANG"))))</f>
        <v>CEK PESAING</v>
      </c>
      <c r="L7" s="9" t="s">
        <v>63</v>
      </c>
      <c r="M7" s="8" t="s">
        <v>74</v>
      </c>
    </row>
    <row r="8" customFormat="false" ht="23.85" hidden="false" customHeight="false" outlineLevel="0" collapsed="false">
      <c r="A8" s="8" t="n">
        <v>4</v>
      </c>
      <c r="B8" s="8" t="s">
        <v>36</v>
      </c>
      <c r="C8" s="8" t="s">
        <v>75</v>
      </c>
      <c r="D8" s="8" t="s">
        <v>8</v>
      </c>
      <c r="E8" s="8" t="s">
        <v>76</v>
      </c>
      <c r="F8" s="8" t="s">
        <v>6</v>
      </c>
      <c r="G8" s="8" t="s">
        <v>77</v>
      </c>
      <c r="H8" s="9" t="s">
        <v>9</v>
      </c>
      <c r="I8" s="8" t="s">
        <v>78</v>
      </c>
      <c r="J8" s="10" t="n">
        <f aca="false">IF(OR(D8="Ada",D8="Ada (klaim)",D8="Pro"),1,0)+IF(OR(F8="Ada",F8="Ada (klaim)",F8="Pro"),1,0)</f>
        <v>2</v>
      </c>
      <c r="K8" s="8" t="str">
        <f aca="false">IF(H8="Perlu cek","VERIFIKASI",IF(J8&gt;0,IF(H8="Ada","Setara",IF(J8=2,"GAP BESAR","GAP")),IF(OR(D8="Perlu cek",F8="Perlu cek"),IF(H8="Ada","CEK PESAING","PELUANG (cek)"),IF(H8="Ada","KEUNGGULAN UNIK","PELUANG"))))</f>
        <v>GAP BESAR</v>
      </c>
      <c r="L8" s="9" t="s">
        <v>79</v>
      </c>
      <c r="M8" s="8" t="s">
        <v>80</v>
      </c>
    </row>
    <row r="9" customFormat="false" ht="35.05" hidden="false" customHeight="false" outlineLevel="0" collapsed="false">
      <c r="A9" s="8" t="n">
        <v>5</v>
      </c>
      <c r="B9" s="8" t="s">
        <v>36</v>
      </c>
      <c r="C9" s="8" t="s">
        <v>81</v>
      </c>
      <c r="D9" s="8" t="s">
        <v>7</v>
      </c>
      <c r="E9" s="8" t="s">
        <v>82</v>
      </c>
      <c r="F9" s="8" t="s">
        <v>6</v>
      </c>
      <c r="G9" s="8" t="s">
        <v>83</v>
      </c>
      <c r="H9" s="9" t="s">
        <v>10</v>
      </c>
      <c r="I9" s="8" t="s">
        <v>84</v>
      </c>
      <c r="J9" s="10" t="n">
        <f aca="false">IF(OR(D9="Ada",D9="Ada (klaim)",D9="Pro"),1,0)+IF(OR(F9="Ada",F9="Ada (klaim)",F9="Pro"),1,0)</f>
        <v>2</v>
      </c>
      <c r="K9" s="8" t="str">
        <f aca="false">IF(H9="Perlu cek","VERIFIKASI",IF(J9&gt;0,IF(H9="Ada","Setara",IF(J9=2,"GAP BESAR","GAP")),IF(OR(D9="Perlu cek",F9="Perlu cek"),IF(H9="Ada","CEK PESAING","PELUANG (cek)"),IF(H9="Ada","KEUNGGULAN UNIK","PELUANG"))))</f>
        <v>GAP BESAR</v>
      </c>
      <c r="L9" s="9" t="s">
        <v>69</v>
      </c>
      <c r="M9" s="8" t="s">
        <v>85</v>
      </c>
    </row>
    <row r="10" customFormat="false" ht="15" hidden="false" customHeight="false" outlineLevel="0" collapsed="false">
      <c r="A10" s="8" t="n">
        <v>6</v>
      </c>
      <c r="B10" s="8" t="s">
        <v>36</v>
      </c>
      <c r="C10" s="8" t="s">
        <v>86</v>
      </c>
      <c r="D10" s="8" t="s">
        <v>11</v>
      </c>
      <c r="E10" s="8" t="s">
        <v>84</v>
      </c>
      <c r="F10" s="8" t="s">
        <v>6</v>
      </c>
      <c r="G10" s="8" t="s">
        <v>87</v>
      </c>
      <c r="H10" s="9" t="s">
        <v>10</v>
      </c>
      <c r="I10" s="8" t="s">
        <v>84</v>
      </c>
      <c r="J10" s="10" t="n">
        <f aca="false">IF(OR(D10="Ada",D10="Ada (klaim)",D10="Pro"),1,0)+IF(OR(F10="Ada",F10="Ada (klaim)",F10="Pro"),1,0)</f>
        <v>1</v>
      </c>
      <c r="K10" s="8" t="str">
        <f aca="false">IF(H10="Perlu cek","VERIFIKASI",IF(J10&gt;0,IF(H10="Ada","Setara",IF(J10=2,"GAP BESAR","GAP")),IF(OR(D10="Perlu cek",F10="Perlu cek"),IF(H10="Ada","CEK PESAING","PELUANG (cek)"),IF(H10="Ada","KEUNGGULAN UNIK","PELUANG"))))</f>
        <v>GAP</v>
      </c>
      <c r="L10" s="9" t="s">
        <v>69</v>
      </c>
      <c r="M10" s="8" t="s">
        <v>88</v>
      </c>
    </row>
    <row r="11" customFormat="false" ht="23.85" hidden="false" customHeight="false" outlineLevel="0" collapsed="false">
      <c r="A11" s="8" t="n">
        <v>7</v>
      </c>
      <c r="B11" s="8" t="s">
        <v>36</v>
      </c>
      <c r="C11" s="8" t="s">
        <v>89</v>
      </c>
      <c r="D11" s="8" t="s">
        <v>7</v>
      </c>
      <c r="E11" s="8" t="s">
        <v>90</v>
      </c>
      <c r="F11" s="8" t="s">
        <v>6</v>
      </c>
      <c r="G11" s="8" t="s">
        <v>91</v>
      </c>
      <c r="H11" s="9" t="s">
        <v>10</v>
      </c>
      <c r="I11" s="8" t="s">
        <v>84</v>
      </c>
      <c r="J11" s="10" t="n">
        <f aca="false">IF(OR(D11="Ada",D11="Ada (klaim)",D11="Pro"),1,0)+IF(OR(F11="Ada",F11="Ada (klaim)",F11="Pro"),1,0)</f>
        <v>2</v>
      </c>
      <c r="K11" s="8" t="str">
        <f aca="false">IF(H11="Perlu cek","VERIFIKASI",IF(J11&gt;0,IF(H11="Ada","Setara",IF(J11=2,"GAP BESAR","GAP")),IF(OR(D11="Perlu cek",F11="Perlu cek"),IF(H11="Ada","CEK PESAING","PELUANG (cek)"),IF(H11="Ada","KEUNGGULAN UNIK","PELUANG"))))</f>
        <v>GAP BESAR</v>
      </c>
      <c r="L11" s="9" t="s">
        <v>63</v>
      </c>
      <c r="M11" s="8" t="s">
        <v>92</v>
      </c>
    </row>
    <row r="12" customFormat="false" ht="23.85" hidden="false" customHeight="false" outlineLevel="0" collapsed="false">
      <c r="A12" s="8" t="n">
        <v>8</v>
      </c>
      <c r="B12" s="8" t="s">
        <v>36</v>
      </c>
      <c r="C12" s="8" t="s">
        <v>93</v>
      </c>
      <c r="D12" s="8" t="s">
        <v>11</v>
      </c>
      <c r="E12" s="8" t="s">
        <v>84</v>
      </c>
      <c r="F12" s="8" t="s">
        <v>6</v>
      </c>
      <c r="G12" s="8" t="s">
        <v>94</v>
      </c>
      <c r="H12" s="9" t="s">
        <v>10</v>
      </c>
      <c r="I12" s="8" t="s">
        <v>84</v>
      </c>
      <c r="J12" s="10" t="n">
        <f aca="false">IF(OR(D12="Ada",D12="Ada (klaim)",D12="Pro"),1,0)+IF(OR(F12="Ada",F12="Ada (klaim)",F12="Pro"),1,0)</f>
        <v>1</v>
      </c>
      <c r="K12" s="8" t="str">
        <f aca="false">IF(H12="Perlu cek","VERIFIKASI",IF(J12&gt;0,IF(H12="Ada","Setara",IF(J12=2,"GAP BESAR","GAP")),IF(OR(D12="Perlu cek",F12="Perlu cek"),IF(H12="Ada","CEK PESAING","PELUANG (cek)"),IF(H12="Ada","KEUNGGULAN UNIK","PELUANG"))))</f>
        <v>GAP</v>
      </c>
      <c r="L12" s="9" t="s">
        <v>63</v>
      </c>
      <c r="M12" s="8" t="s">
        <v>95</v>
      </c>
    </row>
    <row r="13" customFormat="false" ht="35.05" hidden="false" customHeight="false" outlineLevel="0" collapsed="false">
      <c r="A13" s="8" t="n">
        <v>9</v>
      </c>
      <c r="B13" s="8" t="s">
        <v>36</v>
      </c>
      <c r="C13" s="8" t="s">
        <v>96</v>
      </c>
      <c r="D13" s="8" t="s">
        <v>7</v>
      </c>
      <c r="E13" s="8" t="s">
        <v>97</v>
      </c>
      <c r="F13" s="8" t="s">
        <v>6</v>
      </c>
      <c r="G13" s="8" t="s">
        <v>98</v>
      </c>
      <c r="H13" s="9" t="s">
        <v>10</v>
      </c>
      <c r="I13" s="8" t="s">
        <v>84</v>
      </c>
      <c r="J13" s="10" t="n">
        <f aca="false">IF(OR(D13="Ada",D13="Ada (klaim)",D13="Pro"),1,0)+IF(OR(F13="Ada",F13="Ada (klaim)",F13="Pro"),1,0)</f>
        <v>2</v>
      </c>
      <c r="K13" s="8" t="str">
        <f aca="false">IF(H13="Perlu cek","VERIFIKASI",IF(J13&gt;0,IF(H13="Ada","Setara",IF(J13=2,"GAP BESAR","GAP")),IF(OR(D13="Perlu cek",F13="Perlu cek"),IF(H13="Ada","CEK PESAING","PELUANG (cek)"),IF(H13="Ada","KEUNGGULAN UNIK","PELUANG"))))</f>
        <v>GAP BESAR</v>
      </c>
      <c r="L13" s="9" t="s">
        <v>79</v>
      </c>
      <c r="M13" s="8" t="s">
        <v>99</v>
      </c>
    </row>
    <row r="14" customFormat="false" ht="23.85" hidden="false" customHeight="false" outlineLevel="0" collapsed="false">
      <c r="A14" s="8" t="n">
        <v>10</v>
      </c>
      <c r="B14" s="8" t="s">
        <v>36</v>
      </c>
      <c r="C14" s="8" t="s">
        <v>100</v>
      </c>
      <c r="D14" s="8" t="s">
        <v>11</v>
      </c>
      <c r="E14" s="8" t="s">
        <v>84</v>
      </c>
      <c r="F14" s="8" t="s">
        <v>10</v>
      </c>
      <c r="G14" s="8" t="s">
        <v>101</v>
      </c>
      <c r="H14" s="9" t="s">
        <v>10</v>
      </c>
      <c r="I14" s="8" t="s">
        <v>102</v>
      </c>
      <c r="J14" s="10" t="n">
        <f aca="false">IF(OR(D14="Ada",D14="Ada (klaim)",D14="Pro"),1,0)+IF(OR(F14="Ada",F14="Ada (klaim)",F14="Pro"),1,0)</f>
        <v>0</v>
      </c>
      <c r="K14" s="8" t="str">
        <f aca="false">IF(H14="Perlu cek","VERIFIKASI",IF(J14&gt;0,IF(H14="Ada","Setara",IF(J14=2,"GAP BESAR","GAP")),IF(OR(D14="Perlu cek",F14="Perlu cek"),IF(H14="Ada","CEK PESAING","PELUANG (cek)"),IF(H14="Ada","KEUNGGULAN UNIK","PELUANG"))))</f>
        <v>PELUANG (cek)</v>
      </c>
      <c r="L14" s="9" t="s">
        <v>79</v>
      </c>
      <c r="M14" s="8" t="s">
        <v>103</v>
      </c>
    </row>
    <row r="15" customFormat="false" ht="23.85" hidden="false" customHeight="false" outlineLevel="0" collapsed="false">
      <c r="A15" s="8" t="n">
        <v>11</v>
      </c>
      <c r="B15" s="8" t="s">
        <v>36</v>
      </c>
      <c r="C15" s="8" t="s">
        <v>104</v>
      </c>
      <c r="D15" s="8" t="s">
        <v>11</v>
      </c>
      <c r="E15" s="8" t="s">
        <v>84</v>
      </c>
      <c r="F15" s="8" t="s">
        <v>6</v>
      </c>
      <c r="G15" s="8" t="s">
        <v>105</v>
      </c>
      <c r="H15" s="9" t="s">
        <v>10</v>
      </c>
      <c r="I15" s="8" t="s">
        <v>102</v>
      </c>
      <c r="J15" s="10" t="n">
        <f aca="false">IF(OR(D15="Ada",D15="Ada (klaim)",D15="Pro"),1,0)+IF(OR(F15="Ada",F15="Ada (klaim)",F15="Pro"),1,0)</f>
        <v>1</v>
      </c>
      <c r="K15" s="8" t="str">
        <f aca="false">IF(H15="Perlu cek","VERIFIKASI",IF(J15&gt;0,IF(H15="Ada","Setara",IF(J15=2,"GAP BESAR","GAP")),IF(OR(D15="Perlu cek",F15="Perlu cek"),IF(H15="Ada","CEK PESAING","PELUANG (cek)"),IF(H15="Ada","KEUNGGULAN UNIK","PELUANG"))))</f>
        <v>GAP</v>
      </c>
      <c r="L15" s="9" t="s">
        <v>79</v>
      </c>
      <c r="M15" s="8" t="s">
        <v>106</v>
      </c>
    </row>
    <row r="16" customFormat="false" ht="15" hidden="false" customHeight="false" outlineLevel="0" collapsed="false">
      <c r="A16" s="8" t="n">
        <v>12</v>
      </c>
      <c r="B16" s="8" t="s">
        <v>36</v>
      </c>
      <c r="C16" s="8" t="s">
        <v>107</v>
      </c>
      <c r="D16" s="8" t="s">
        <v>8</v>
      </c>
      <c r="E16" s="8" t="s">
        <v>108</v>
      </c>
      <c r="F16" s="8" t="s">
        <v>10</v>
      </c>
      <c r="G16" s="8" t="s">
        <v>84</v>
      </c>
      <c r="H16" s="9" t="s">
        <v>10</v>
      </c>
      <c r="I16" s="8" t="s">
        <v>84</v>
      </c>
      <c r="J16" s="10" t="n">
        <f aca="false">IF(OR(D16="Ada",D16="Ada (klaim)",D16="Pro"),1,0)+IF(OR(F16="Ada",F16="Ada (klaim)",F16="Pro"),1,0)</f>
        <v>1</v>
      </c>
      <c r="K16" s="8" t="str">
        <f aca="false">IF(H16="Perlu cek","VERIFIKASI",IF(J16&gt;0,IF(H16="Ada","Setara",IF(J16=2,"GAP BESAR","GAP")),IF(OR(D16="Perlu cek",F16="Perlu cek"),IF(H16="Ada","CEK PESAING","PELUANG (cek)"),IF(H16="Ada","KEUNGGULAN UNIK","PELUANG"))))</f>
        <v>GAP</v>
      </c>
      <c r="L16" s="9" t="s">
        <v>63</v>
      </c>
      <c r="M16" s="8" t="s">
        <v>109</v>
      </c>
    </row>
    <row r="17" customFormat="false" ht="23.85" hidden="false" customHeight="false" outlineLevel="0" collapsed="false">
      <c r="A17" s="8" t="n">
        <v>13</v>
      </c>
      <c r="B17" s="8" t="s">
        <v>36</v>
      </c>
      <c r="C17" s="8" t="s">
        <v>110</v>
      </c>
      <c r="D17" s="8" t="s">
        <v>7</v>
      </c>
      <c r="E17" s="8" t="s">
        <v>111</v>
      </c>
      <c r="F17" s="8" t="s">
        <v>10</v>
      </c>
      <c r="G17" s="8" t="s">
        <v>84</v>
      </c>
      <c r="H17" s="9" t="s">
        <v>10</v>
      </c>
      <c r="I17" s="8" t="s">
        <v>84</v>
      </c>
      <c r="J17" s="10" t="n">
        <f aca="false">IF(OR(D17="Ada",D17="Ada (klaim)",D17="Pro"),1,0)+IF(OR(F17="Ada",F17="Ada (klaim)",F17="Pro"),1,0)</f>
        <v>1</v>
      </c>
      <c r="K17" s="8" t="str">
        <f aca="false">IF(H17="Perlu cek","VERIFIKASI",IF(J17&gt;0,IF(H17="Ada","Setara",IF(J17=2,"GAP BESAR","GAP")),IF(OR(D17="Perlu cek",F17="Perlu cek"),IF(H17="Ada","CEK PESAING","PELUANG (cek)"),IF(H17="Ada","KEUNGGULAN UNIK","PELUANG"))))</f>
        <v>GAP</v>
      </c>
      <c r="L17" s="9" t="s">
        <v>63</v>
      </c>
      <c r="M17" s="8" t="s">
        <v>112</v>
      </c>
    </row>
    <row r="18" customFormat="false" ht="23.85" hidden="false" customHeight="false" outlineLevel="0" collapsed="false">
      <c r="A18" s="8" t="n">
        <v>14</v>
      </c>
      <c r="B18" s="8" t="s">
        <v>36</v>
      </c>
      <c r="C18" s="8" t="s">
        <v>113</v>
      </c>
      <c r="D18" s="8" t="s">
        <v>7</v>
      </c>
      <c r="E18" s="8" t="s">
        <v>114</v>
      </c>
      <c r="F18" s="8" t="s">
        <v>6</v>
      </c>
      <c r="G18" s="8" t="s">
        <v>115</v>
      </c>
      <c r="H18" s="9" t="s">
        <v>10</v>
      </c>
      <c r="I18" s="8" t="s">
        <v>84</v>
      </c>
      <c r="J18" s="10" t="n">
        <f aca="false">IF(OR(D18="Ada",D18="Ada (klaim)",D18="Pro"),1,0)+IF(OR(F18="Ada",F18="Ada (klaim)",F18="Pro"),1,0)</f>
        <v>2</v>
      </c>
      <c r="K18" s="8" t="str">
        <f aca="false">IF(H18="Perlu cek","VERIFIKASI",IF(J18&gt;0,IF(H18="Ada","Setara",IF(J18=2,"GAP BESAR","GAP")),IF(OR(D18="Perlu cek",F18="Perlu cek"),IF(H18="Ada","CEK PESAING","PELUANG (cek)"),IF(H18="Ada","KEUNGGULAN UNIK","PELUANG"))))</f>
        <v>GAP BESAR</v>
      </c>
      <c r="L18" s="9" t="s">
        <v>69</v>
      </c>
      <c r="M18" s="8" t="s">
        <v>116</v>
      </c>
    </row>
    <row r="19" customFormat="false" ht="23.85" hidden="false" customHeight="false" outlineLevel="0" collapsed="false">
      <c r="A19" s="8" t="n">
        <v>15</v>
      </c>
      <c r="B19" s="8" t="s">
        <v>36</v>
      </c>
      <c r="C19" s="8" t="s">
        <v>117</v>
      </c>
      <c r="D19" s="8" t="s">
        <v>11</v>
      </c>
      <c r="E19" s="8" t="s">
        <v>84</v>
      </c>
      <c r="F19" s="8" t="s">
        <v>6</v>
      </c>
      <c r="G19" s="8" t="s">
        <v>118</v>
      </c>
      <c r="H19" s="9" t="s">
        <v>11</v>
      </c>
      <c r="I19" s="8" t="s">
        <v>119</v>
      </c>
      <c r="J19" s="10" t="n">
        <f aca="false">IF(OR(D19="Ada",D19="Ada (klaim)",D19="Pro"),1,0)+IF(OR(F19="Ada",F19="Ada (klaim)",F19="Pro"),1,0)</f>
        <v>1</v>
      </c>
      <c r="K19" s="8" t="str">
        <f aca="false">IF(H19="Perlu cek","VERIFIKASI",IF(J19&gt;0,IF(H19="Ada","Setara",IF(J19=2,"GAP BESAR","GAP")),IF(OR(D19="Perlu cek",F19="Perlu cek"),IF(H19="Ada","CEK PESAING","PELUANG (cek)"),IF(H19="Ada","KEUNGGULAN UNIK","PELUANG"))))</f>
        <v>VERIFIKASI</v>
      </c>
      <c r="L19" s="9" t="s">
        <v>69</v>
      </c>
      <c r="M19" s="8" t="s">
        <v>120</v>
      </c>
    </row>
    <row r="20" customFormat="false" ht="15" hidden="false" customHeight="false" outlineLevel="0" collapsed="false">
      <c r="A20" s="8" t="n">
        <v>16</v>
      </c>
      <c r="B20" s="8" t="s">
        <v>36</v>
      </c>
      <c r="C20" s="8" t="s">
        <v>121</v>
      </c>
      <c r="D20" s="8" t="s">
        <v>8</v>
      </c>
      <c r="E20" s="8" t="s">
        <v>122</v>
      </c>
      <c r="F20" s="8" t="s">
        <v>6</v>
      </c>
      <c r="G20" s="8" t="s">
        <v>123</v>
      </c>
      <c r="H20" s="9" t="s">
        <v>9</v>
      </c>
      <c r="I20" s="8" t="s">
        <v>124</v>
      </c>
      <c r="J20" s="10" t="n">
        <f aca="false">IF(OR(D20="Ada",D20="Ada (klaim)",D20="Pro"),1,0)+IF(OR(F20="Ada",F20="Ada (klaim)",F20="Pro"),1,0)</f>
        <v>2</v>
      </c>
      <c r="K20" s="8" t="str">
        <f aca="false">IF(H20="Perlu cek","VERIFIKASI",IF(J20&gt;0,IF(H20="Ada","Setara",IF(J20=2,"GAP BESAR","GAP")),IF(OR(D20="Perlu cek",F20="Perlu cek"),IF(H20="Ada","CEK PESAING","PELUANG (cek)"),IF(H20="Ada","KEUNGGULAN UNIK","PELUANG"))))</f>
        <v>GAP BESAR</v>
      </c>
      <c r="L20" s="9" t="s">
        <v>79</v>
      </c>
      <c r="M20" s="8" t="s">
        <v>125</v>
      </c>
    </row>
    <row r="21" customFormat="false" ht="23.85" hidden="false" customHeight="false" outlineLevel="0" collapsed="false">
      <c r="A21" s="8" t="n">
        <v>17</v>
      </c>
      <c r="B21" s="8" t="s">
        <v>36</v>
      </c>
      <c r="C21" s="8" t="s">
        <v>126</v>
      </c>
      <c r="D21" s="8" t="s">
        <v>11</v>
      </c>
      <c r="E21" s="8" t="s">
        <v>84</v>
      </c>
      <c r="F21" s="8" t="s">
        <v>11</v>
      </c>
      <c r="G21" s="8" t="s">
        <v>84</v>
      </c>
      <c r="H21" s="9" t="s">
        <v>9</v>
      </c>
      <c r="I21" s="8" t="s">
        <v>127</v>
      </c>
      <c r="J21" s="10" t="n">
        <f aca="false">IF(OR(D21="Ada",D21="Ada (klaim)",D21="Pro"),1,0)+IF(OR(F21="Ada",F21="Ada (klaim)",F21="Pro"),1,0)</f>
        <v>0</v>
      </c>
      <c r="K21" s="8" t="str">
        <f aca="false">IF(H21="Perlu cek","VERIFIKASI",IF(J21&gt;0,IF(H21="Ada","Setara",IF(J21=2,"GAP BESAR","GAP")),IF(OR(D21="Perlu cek",F21="Perlu cek"),IF(H21="Ada","CEK PESAING","PELUANG (cek)"),IF(H21="Ada","KEUNGGULAN UNIK","PELUANG"))))</f>
        <v>PELUANG (cek)</v>
      </c>
      <c r="L21" s="9" t="s">
        <v>79</v>
      </c>
      <c r="M21" s="8" t="s">
        <v>128</v>
      </c>
    </row>
    <row r="22" customFormat="false" ht="23.85" hidden="false" customHeight="false" outlineLevel="0" collapsed="false">
      <c r="A22" s="8" t="n">
        <v>18</v>
      </c>
      <c r="B22" s="8" t="s">
        <v>36</v>
      </c>
      <c r="C22" s="8" t="s">
        <v>129</v>
      </c>
      <c r="D22" s="8" t="s">
        <v>11</v>
      </c>
      <c r="E22" s="8" t="s">
        <v>84</v>
      </c>
      <c r="F22" s="8" t="s">
        <v>11</v>
      </c>
      <c r="G22" s="8" t="s">
        <v>84</v>
      </c>
      <c r="H22" s="9" t="s">
        <v>9</v>
      </c>
      <c r="I22" s="8" t="s">
        <v>130</v>
      </c>
      <c r="J22" s="10" t="n">
        <f aca="false">IF(OR(D22="Ada",D22="Ada (klaim)",D22="Pro"),1,0)+IF(OR(F22="Ada",F22="Ada (klaim)",F22="Pro"),1,0)</f>
        <v>0</v>
      </c>
      <c r="K22" s="8" t="str">
        <f aca="false">IF(H22="Perlu cek","VERIFIKASI",IF(J22&gt;0,IF(H22="Ada","Setara",IF(J22=2,"GAP BESAR","GAP")),IF(OR(D22="Perlu cek",F22="Perlu cek"),IF(H22="Ada","CEK PESAING","PELUANG (cek)"),IF(H22="Ada","KEUNGGULAN UNIK","PELUANG"))))</f>
        <v>PELUANG (cek)</v>
      </c>
      <c r="L22" s="9" t="s">
        <v>69</v>
      </c>
      <c r="M22" s="8" t="s">
        <v>131</v>
      </c>
    </row>
    <row r="23" customFormat="false" ht="15" hidden="false" customHeight="false" outlineLevel="0" collapsed="false">
      <c r="A23" s="8" t="n">
        <v>19</v>
      </c>
      <c r="B23" s="8" t="s">
        <v>37</v>
      </c>
      <c r="C23" s="8" t="s">
        <v>132</v>
      </c>
      <c r="D23" s="8" t="s">
        <v>7</v>
      </c>
      <c r="E23" s="8" t="s">
        <v>133</v>
      </c>
      <c r="F23" s="8" t="s">
        <v>6</v>
      </c>
      <c r="G23" s="8" t="s">
        <v>134</v>
      </c>
      <c r="H23" s="9" t="s">
        <v>6</v>
      </c>
      <c r="I23" s="8" t="s">
        <v>135</v>
      </c>
      <c r="J23" s="10" t="n">
        <f aca="false">IF(OR(D23="Ada",D23="Ada (klaim)",D23="Pro"),1,0)+IF(OR(F23="Ada",F23="Ada (klaim)",F23="Pro"),1,0)</f>
        <v>2</v>
      </c>
      <c r="K23" s="8" t="str">
        <f aca="false">IF(H23="Perlu cek","VERIFIKASI",IF(J23&gt;0,IF(H23="Ada","Setara",IF(J23=2,"GAP BESAR","GAP")),IF(OR(D23="Perlu cek",F23="Perlu cek"),IF(H23="Ada","CEK PESAING","PELUANG (cek)"),IF(H23="Ada","KEUNGGULAN UNIK","PELUANG"))))</f>
        <v>Setara</v>
      </c>
      <c r="L23" s="9" t="s">
        <v>63</v>
      </c>
      <c r="M23" s="8" t="s">
        <v>136</v>
      </c>
    </row>
    <row r="24" customFormat="false" ht="23.85" hidden="false" customHeight="false" outlineLevel="0" collapsed="false">
      <c r="A24" s="8" t="n">
        <v>20</v>
      </c>
      <c r="B24" s="8" t="s">
        <v>37</v>
      </c>
      <c r="C24" s="8" t="s">
        <v>137</v>
      </c>
      <c r="D24" s="8" t="s">
        <v>7</v>
      </c>
      <c r="E24" s="8" t="s">
        <v>138</v>
      </c>
      <c r="F24" s="8" t="s">
        <v>11</v>
      </c>
      <c r="G24" s="8" t="s">
        <v>84</v>
      </c>
      <c r="H24" s="9" t="s">
        <v>9</v>
      </c>
      <c r="I24" s="8" t="s">
        <v>139</v>
      </c>
      <c r="J24" s="10" t="n">
        <f aca="false">IF(OR(D24="Ada",D24="Ada (klaim)",D24="Pro"),1,0)+IF(OR(F24="Ada",F24="Ada (klaim)",F24="Pro"),1,0)</f>
        <v>1</v>
      </c>
      <c r="K24" s="8" t="str">
        <f aca="false">IF(H24="Perlu cek","VERIFIKASI",IF(J24&gt;0,IF(H24="Ada","Setara",IF(J24=2,"GAP BESAR","GAP")),IF(OR(D24="Perlu cek",F24="Perlu cek"),IF(H24="Ada","CEK PESAING","PELUANG (cek)"),IF(H24="Ada","KEUNGGULAN UNIK","PELUANG"))))</f>
        <v>GAP</v>
      </c>
      <c r="L24" s="9" t="s">
        <v>79</v>
      </c>
      <c r="M24" s="8" t="s">
        <v>140</v>
      </c>
    </row>
    <row r="25" customFormat="false" ht="23.85" hidden="false" customHeight="false" outlineLevel="0" collapsed="false">
      <c r="A25" s="8" t="n">
        <v>21</v>
      </c>
      <c r="B25" s="8" t="s">
        <v>37</v>
      </c>
      <c r="C25" s="8" t="s">
        <v>141</v>
      </c>
      <c r="D25" s="8" t="s">
        <v>7</v>
      </c>
      <c r="E25" s="8" t="s">
        <v>138</v>
      </c>
      <c r="F25" s="8" t="s">
        <v>7</v>
      </c>
      <c r="G25" s="8" t="s">
        <v>142</v>
      </c>
      <c r="H25" s="9" t="s">
        <v>10</v>
      </c>
      <c r="I25" s="8" t="s">
        <v>143</v>
      </c>
      <c r="J25" s="10" t="n">
        <f aca="false">IF(OR(D25="Ada",D25="Ada (klaim)",D25="Pro"),1,0)+IF(OR(F25="Ada",F25="Ada (klaim)",F25="Pro"),1,0)</f>
        <v>2</v>
      </c>
      <c r="K25" s="8" t="str">
        <f aca="false">IF(H25="Perlu cek","VERIFIKASI",IF(J25&gt;0,IF(H25="Ada","Setara",IF(J25=2,"GAP BESAR","GAP")),IF(OR(D25="Perlu cek",F25="Perlu cek"),IF(H25="Ada","CEK PESAING","PELUANG (cek)"),IF(H25="Ada","KEUNGGULAN UNIK","PELUANG"))))</f>
        <v>GAP BESAR</v>
      </c>
      <c r="L25" s="9" t="s">
        <v>69</v>
      </c>
      <c r="M25" s="8" t="s">
        <v>144</v>
      </c>
    </row>
    <row r="26" customFormat="false" ht="15" hidden="false" customHeight="false" outlineLevel="0" collapsed="false">
      <c r="A26" s="8" t="n">
        <v>22</v>
      </c>
      <c r="B26" s="8" t="s">
        <v>37</v>
      </c>
      <c r="C26" s="8" t="s">
        <v>145</v>
      </c>
      <c r="D26" s="8" t="s">
        <v>6</v>
      </c>
      <c r="E26" s="8" t="s">
        <v>146</v>
      </c>
      <c r="F26" s="8" t="s">
        <v>6</v>
      </c>
      <c r="G26" s="8" t="s">
        <v>147</v>
      </c>
      <c r="H26" s="9" t="s">
        <v>11</v>
      </c>
      <c r="I26" s="8" t="s">
        <v>84</v>
      </c>
      <c r="J26" s="10" t="n">
        <f aca="false">IF(OR(D26="Ada",D26="Ada (klaim)",D26="Pro"),1,0)+IF(OR(F26="Ada",F26="Ada (klaim)",F26="Pro"),1,0)</f>
        <v>2</v>
      </c>
      <c r="K26" s="8" t="str">
        <f aca="false">IF(H26="Perlu cek","VERIFIKASI",IF(J26&gt;0,IF(H26="Ada","Setara",IF(J26=2,"GAP BESAR","GAP")),IF(OR(D26="Perlu cek",F26="Perlu cek"),IF(H26="Ada","CEK PESAING","PELUANG (cek)"),IF(H26="Ada","KEUNGGULAN UNIK","PELUANG"))))</f>
        <v>VERIFIKASI</v>
      </c>
      <c r="L26" s="9" t="s">
        <v>63</v>
      </c>
      <c r="M26" s="8"/>
    </row>
    <row r="27" customFormat="false" ht="15" hidden="false" customHeight="false" outlineLevel="0" collapsed="false">
      <c r="A27" s="8" t="n">
        <v>23</v>
      </c>
      <c r="B27" s="8" t="s">
        <v>37</v>
      </c>
      <c r="C27" s="8" t="s">
        <v>148</v>
      </c>
      <c r="D27" s="8" t="s">
        <v>6</v>
      </c>
      <c r="E27" s="8" t="s">
        <v>149</v>
      </c>
      <c r="F27" s="8" t="s">
        <v>10</v>
      </c>
      <c r="G27" s="8" t="s">
        <v>84</v>
      </c>
      <c r="H27" s="9" t="s">
        <v>10</v>
      </c>
      <c r="I27" s="8" t="s">
        <v>84</v>
      </c>
      <c r="J27" s="10" t="n">
        <f aca="false">IF(OR(D27="Ada",D27="Ada (klaim)",D27="Pro"),1,0)+IF(OR(F27="Ada",F27="Ada (klaim)",F27="Pro"),1,0)</f>
        <v>1</v>
      </c>
      <c r="K27" s="8" t="str">
        <f aca="false">IF(H27="Perlu cek","VERIFIKASI",IF(J27&gt;0,IF(H27="Ada","Setara",IF(J27=2,"GAP BESAR","GAP")),IF(OR(D27="Perlu cek",F27="Perlu cek"),IF(H27="Ada","CEK PESAING","PELUANG (cek)"),IF(H27="Ada","KEUNGGULAN UNIK","PELUANG"))))</f>
        <v>GAP</v>
      </c>
      <c r="L27" s="9" t="s">
        <v>69</v>
      </c>
      <c r="M27" s="8" t="s">
        <v>150</v>
      </c>
    </row>
    <row r="28" customFormat="false" ht="15" hidden="false" customHeight="false" outlineLevel="0" collapsed="false">
      <c r="A28" s="8" t="n">
        <v>24</v>
      </c>
      <c r="B28" s="8" t="s">
        <v>37</v>
      </c>
      <c r="C28" s="8" t="s">
        <v>151</v>
      </c>
      <c r="D28" s="8" t="s">
        <v>6</v>
      </c>
      <c r="E28" s="8" t="s">
        <v>152</v>
      </c>
      <c r="F28" s="8" t="s">
        <v>11</v>
      </c>
      <c r="G28" s="8" t="s">
        <v>84</v>
      </c>
      <c r="H28" s="9" t="s">
        <v>10</v>
      </c>
      <c r="I28" s="8" t="s">
        <v>84</v>
      </c>
      <c r="J28" s="10" t="n">
        <f aca="false">IF(OR(D28="Ada",D28="Ada (klaim)",D28="Pro"),1,0)+IF(OR(F28="Ada",F28="Ada (klaim)",F28="Pro"),1,0)</f>
        <v>1</v>
      </c>
      <c r="K28" s="8" t="str">
        <f aca="false">IF(H28="Perlu cek","VERIFIKASI",IF(J28&gt;0,IF(H28="Ada","Setara",IF(J28=2,"GAP BESAR","GAP")),IF(OR(D28="Perlu cek",F28="Perlu cek"),IF(H28="Ada","CEK PESAING","PELUANG (cek)"),IF(H28="Ada","KEUNGGULAN UNIK","PELUANG"))))</f>
        <v>GAP</v>
      </c>
      <c r="L28" s="9" t="s">
        <v>69</v>
      </c>
      <c r="M28" s="8" t="s">
        <v>153</v>
      </c>
    </row>
    <row r="29" customFormat="false" ht="15" hidden="false" customHeight="false" outlineLevel="0" collapsed="false">
      <c r="A29" s="8" t="n">
        <v>25</v>
      </c>
      <c r="B29" s="8" t="s">
        <v>37</v>
      </c>
      <c r="C29" s="8" t="s">
        <v>154</v>
      </c>
      <c r="D29" s="8" t="s">
        <v>6</v>
      </c>
      <c r="E29" s="8" t="s">
        <v>155</v>
      </c>
      <c r="F29" s="8" t="s">
        <v>6</v>
      </c>
      <c r="G29" s="8" t="s">
        <v>156</v>
      </c>
      <c r="H29" s="9" t="s">
        <v>11</v>
      </c>
      <c r="I29" s="8" t="s">
        <v>84</v>
      </c>
      <c r="J29" s="10" t="n">
        <f aca="false">IF(OR(D29="Ada",D29="Ada (klaim)",D29="Pro"),1,0)+IF(OR(F29="Ada",F29="Ada (klaim)",F29="Pro"),1,0)</f>
        <v>2</v>
      </c>
      <c r="K29" s="8" t="str">
        <f aca="false">IF(H29="Perlu cek","VERIFIKASI",IF(J29&gt;0,IF(H29="Ada","Setara",IF(J29=2,"GAP BESAR","GAP")),IF(OR(D29="Perlu cek",F29="Perlu cek"),IF(H29="Ada","CEK PESAING","PELUANG (cek)"),IF(H29="Ada","KEUNGGULAN UNIK","PELUANG"))))</f>
        <v>VERIFIKASI</v>
      </c>
      <c r="L29" s="9" t="s">
        <v>63</v>
      </c>
      <c r="M29" s="8" t="s">
        <v>157</v>
      </c>
    </row>
    <row r="30" customFormat="false" ht="15" hidden="false" customHeight="false" outlineLevel="0" collapsed="false">
      <c r="A30" s="8" t="n">
        <v>26</v>
      </c>
      <c r="B30" s="8" t="s">
        <v>37</v>
      </c>
      <c r="C30" s="8" t="s">
        <v>158</v>
      </c>
      <c r="D30" s="8" t="s">
        <v>7</v>
      </c>
      <c r="E30" s="8" t="s">
        <v>159</v>
      </c>
      <c r="F30" s="8" t="s">
        <v>11</v>
      </c>
      <c r="G30" s="8" t="s">
        <v>160</v>
      </c>
      <c r="H30" s="9" t="s">
        <v>11</v>
      </c>
      <c r="I30" s="8" t="s">
        <v>84</v>
      </c>
      <c r="J30" s="10" t="n">
        <f aca="false">IF(OR(D30="Ada",D30="Ada (klaim)",D30="Pro"),1,0)+IF(OR(F30="Ada",F30="Ada (klaim)",F30="Pro"),1,0)</f>
        <v>1</v>
      </c>
      <c r="K30" s="8" t="str">
        <f aca="false">IF(H30="Perlu cek","VERIFIKASI",IF(J30&gt;0,IF(H30="Ada","Setara",IF(J30=2,"GAP BESAR","GAP")),IF(OR(D30="Perlu cek",F30="Perlu cek"),IF(H30="Ada","CEK PESAING","PELUANG (cek)"),IF(H30="Ada","KEUNGGULAN UNIK","PELUANG"))))</f>
        <v>VERIFIKASI</v>
      </c>
      <c r="L30" s="9" t="s">
        <v>63</v>
      </c>
      <c r="M30" s="8"/>
    </row>
    <row r="31" customFormat="false" ht="15" hidden="false" customHeight="false" outlineLevel="0" collapsed="false">
      <c r="A31" s="8" t="n">
        <v>27</v>
      </c>
      <c r="B31" s="8" t="s">
        <v>37</v>
      </c>
      <c r="C31" s="8" t="s">
        <v>161</v>
      </c>
      <c r="D31" s="8" t="s">
        <v>11</v>
      </c>
      <c r="E31" s="8" t="s">
        <v>84</v>
      </c>
      <c r="F31" s="8" t="s">
        <v>6</v>
      </c>
      <c r="G31" s="8" t="s">
        <v>162</v>
      </c>
      <c r="H31" s="9" t="s">
        <v>10</v>
      </c>
      <c r="I31" s="8" t="s">
        <v>84</v>
      </c>
      <c r="J31" s="10" t="n">
        <f aca="false">IF(OR(D31="Ada",D31="Ada (klaim)",D31="Pro"),1,0)+IF(OR(F31="Ada",F31="Ada (klaim)",F31="Pro"),1,0)</f>
        <v>1</v>
      </c>
      <c r="K31" s="8" t="str">
        <f aca="false">IF(H31="Perlu cek","VERIFIKASI",IF(J31&gt;0,IF(H31="Ada","Setara",IF(J31=2,"GAP BESAR","GAP")),IF(OR(D31="Perlu cek",F31="Perlu cek"),IF(H31="Ada","CEK PESAING","PELUANG (cek)"),IF(H31="Ada","KEUNGGULAN UNIK","PELUANG"))))</f>
        <v>GAP</v>
      </c>
      <c r="L31" s="9" t="s">
        <v>79</v>
      </c>
      <c r="M31" s="8" t="s">
        <v>163</v>
      </c>
    </row>
    <row r="32" customFormat="false" ht="23.85" hidden="false" customHeight="false" outlineLevel="0" collapsed="false">
      <c r="A32" s="8" t="n">
        <v>28</v>
      </c>
      <c r="B32" s="8" t="s">
        <v>37</v>
      </c>
      <c r="C32" s="8" t="s">
        <v>164</v>
      </c>
      <c r="D32" s="8" t="s">
        <v>6</v>
      </c>
      <c r="E32" s="8" t="s">
        <v>165</v>
      </c>
      <c r="F32" s="8" t="s">
        <v>10</v>
      </c>
      <c r="G32" s="8" t="s">
        <v>84</v>
      </c>
      <c r="H32" s="9" t="s">
        <v>10</v>
      </c>
      <c r="I32" s="8" t="s">
        <v>84</v>
      </c>
      <c r="J32" s="10" t="n">
        <f aca="false">IF(OR(D32="Ada",D32="Ada (klaim)",D32="Pro"),1,0)+IF(OR(F32="Ada",F32="Ada (klaim)",F32="Pro"),1,0)</f>
        <v>1</v>
      </c>
      <c r="K32" s="8" t="str">
        <f aca="false">IF(H32="Perlu cek","VERIFIKASI",IF(J32&gt;0,IF(H32="Ada","Setara",IF(J32=2,"GAP BESAR","GAP")),IF(OR(D32="Perlu cek",F32="Perlu cek"),IF(H32="Ada","CEK PESAING","PELUANG (cek)"),IF(H32="Ada","KEUNGGULAN UNIK","PELUANG"))))</f>
        <v>GAP</v>
      </c>
      <c r="L32" s="9" t="s">
        <v>69</v>
      </c>
      <c r="M32" s="8"/>
    </row>
    <row r="33" customFormat="false" ht="15" hidden="false" customHeight="false" outlineLevel="0" collapsed="false">
      <c r="A33" s="8" t="n">
        <v>29</v>
      </c>
      <c r="B33" s="8" t="s">
        <v>38</v>
      </c>
      <c r="C33" s="8" t="s">
        <v>166</v>
      </c>
      <c r="D33" s="8" t="s">
        <v>7</v>
      </c>
      <c r="E33" s="8" t="s">
        <v>167</v>
      </c>
      <c r="F33" s="8" t="s">
        <v>6</v>
      </c>
      <c r="G33" s="8" t="s">
        <v>168</v>
      </c>
      <c r="H33" s="9" t="s">
        <v>11</v>
      </c>
      <c r="I33" s="8" t="s">
        <v>84</v>
      </c>
      <c r="J33" s="10" t="n">
        <f aca="false">IF(OR(D33="Ada",D33="Ada (klaim)",D33="Pro"),1,0)+IF(OR(F33="Ada",F33="Ada (klaim)",F33="Pro"),1,0)</f>
        <v>2</v>
      </c>
      <c r="K33" s="8" t="str">
        <f aca="false">IF(H33="Perlu cek","VERIFIKASI",IF(J33&gt;0,IF(H33="Ada","Setara",IF(J33=2,"GAP BESAR","GAP")),IF(OR(D33="Perlu cek",F33="Perlu cek"),IF(H33="Ada","CEK PESAING","PELUANG (cek)"),IF(H33="Ada","KEUNGGULAN UNIK","PELUANG"))))</f>
        <v>VERIFIKASI</v>
      </c>
      <c r="L33" s="9" t="s">
        <v>79</v>
      </c>
      <c r="M33" s="8" t="s">
        <v>169</v>
      </c>
    </row>
    <row r="34" customFormat="false" ht="23.85" hidden="false" customHeight="false" outlineLevel="0" collapsed="false">
      <c r="A34" s="8" t="n">
        <v>30</v>
      </c>
      <c r="B34" s="8" t="s">
        <v>38</v>
      </c>
      <c r="C34" s="8" t="s">
        <v>170</v>
      </c>
      <c r="D34" s="8" t="s">
        <v>6</v>
      </c>
      <c r="E34" s="8" t="s">
        <v>171</v>
      </c>
      <c r="F34" s="8" t="s">
        <v>10</v>
      </c>
      <c r="G34" s="8" t="s">
        <v>84</v>
      </c>
      <c r="H34" s="9" t="s">
        <v>11</v>
      </c>
      <c r="I34" s="8" t="s">
        <v>84</v>
      </c>
      <c r="J34" s="10" t="n">
        <f aca="false">IF(OR(D34="Ada",D34="Ada (klaim)",D34="Pro"),1,0)+IF(OR(F34="Ada",F34="Ada (klaim)",F34="Pro"),1,0)</f>
        <v>1</v>
      </c>
      <c r="K34" s="8" t="str">
        <f aca="false">IF(H34="Perlu cek","VERIFIKASI",IF(J34&gt;0,IF(H34="Ada","Setara",IF(J34=2,"GAP BESAR","GAP")),IF(OR(D34="Perlu cek",F34="Perlu cek"),IF(H34="Ada","CEK PESAING","PELUANG (cek)"),IF(H34="Ada","KEUNGGULAN UNIK","PELUANG"))))</f>
        <v>VERIFIKASI</v>
      </c>
      <c r="L34" s="9" t="s">
        <v>79</v>
      </c>
      <c r="M34" s="8" t="s">
        <v>172</v>
      </c>
    </row>
    <row r="35" customFormat="false" ht="15" hidden="false" customHeight="false" outlineLevel="0" collapsed="false">
      <c r="A35" s="8" t="n">
        <v>31</v>
      </c>
      <c r="B35" s="8" t="s">
        <v>38</v>
      </c>
      <c r="C35" s="8" t="s">
        <v>173</v>
      </c>
      <c r="D35" s="8" t="s">
        <v>6</v>
      </c>
      <c r="E35" s="8" t="s">
        <v>174</v>
      </c>
      <c r="F35" s="8" t="s">
        <v>6</v>
      </c>
      <c r="G35" s="8" t="s">
        <v>175</v>
      </c>
      <c r="H35" s="9" t="s">
        <v>10</v>
      </c>
      <c r="I35" s="8" t="s">
        <v>84</v>
      </c>
      <c r="J35" s="10" t="n">
        <f aca="false">IF(OR(D35="Ada",D35="Ada (klaim)",D35="Pro"),1,0)+IF(OR(F35="Ada",F35="Ada (klaim)",F35="Pro"),1,0)</f>
        <v>2</v>
      </c>
      <c r="K35" s="8" t="str">
        <f aca="false">IF(H35="Perlu cek","VERIFIKASI",IF(J35&gt;0,IF(H35="Ada","Setara",IF(J35=2,"GAP BESAR","GAP")),IF(OR(D35="Perlu cek",F35="Perlu cek"),IF(H35="Ada","CEK PESAING","PELUANG (cek)"),IF(H35="Ada","KEUNGGULAN UNIK","PELUANG"))))</f>
        <v>GAP BESAR</v>
      </c>
      <c r="L35" s="9" t="s">
        <v>79</v>
      </c>
      <c r="M35" s="8" t="s">
        <v>176</v>
      </c>
    </row>
    <row r="36" customFormat="false" ht="15" hidden="false" customHeight="false" outlineLevel="0" collapsed="false">
      <c r="A36" s="8" t="n">
        <v>32</v>
      </c>
      <c r="B36" s="8" t="s">
        <v>38</v>
      </c>
      <c r="C36" s="8" t="s">
        <v>177</v>
      </c>
      <c r="D36" s="8" t="s">
        <v>8</v>
      </c>
      <c r="E36" s="8" t="s">
        <v>178</v>
      </c>
      <c r="F36" s="8" t="s">
        <v>11</v>
      </c>
      <c r="G36" s="8" t="s">
        <v>84</v>
      </c>
      <c r="H36" s="9" t="s">
        <v>10</v>
      </c>
      <c r="I36" s="8" t="s">
        <v>84</v>
      </c>
      <c r="J36" s="10" t="n">
        <f aca="false">IF(OR(D36="Ada",D36="Ada (klaim)",D36="Pro"),1,0)+IF(OR(F36="Ada",F36="Ada (klaim)",F36="Pro"),1,0)</f>
        <v>1</v>
      </c>
      <c r="K36" s="8" t="str">
        <f aca="false">IF(H36="Perlu cek","VERIFIKASI",IF(J36&gt;0,IF(H36="Ada","Setara",IF(J36=2,"GAP BESAR","GAP")),IF(OR(D36="Perlu cek",F36="Perlu cek"),IF(H36="Ada","CEK PESAING","PELUANG (cek)"),IF(H36="Ada","KEUNGGULAN UNIK","PELUANG"))))</f>
        <v>GAP</v>
      </c>
      <c r="L36" s="9" t="s">
        <v>69</v>
      </c>
      <c r="M36" s="8" t="s">
        <v>179</v>
      </c>
    </row>
    <row r="37" customFormat="false" ht="15" hidden="false" customHeight="false" outlineLevel="0" collapsed="false">
      <c r="A37" s="8" t="n">
        <v>33</v>
      </c>
      <c r="B37" s="8" t="s">
        <v>38</v>
      </c>
      <c r="C37" s="8" t="s">
        <v>180</v>
      </c>
      <c r="D37" s="8" t="s">
        <v>7</v>
      </c>
      <c r="E37" s="8" t="s">
        <v>138</v>
      </c>
      <c r="F37" s="8" t="s">
        <v>11</v>
      </c>
      <c r="G37" s="8" t="s">
        <v>84</v>
      </c>
      <c r="H37" s="9" t="s">
        <v>10</v>
      </c>
      <c r="I37" s="8" t="s">
        <v>84</v>
      </c>
      <c r="J37" s="10" t="n">
        <f aca="false">IF(OR(D37="Ada",D37="Ada (klaim)",D37="Pro"),1,0)+IF(OR(F37="Ada",F37="Ada (klaim)",F37="Pro"),1,0)</f>
        <v>1</v>
      </c>
      <c r="K37" s="8" t="str">
        <f aca="false">IF(H37="Perlu cek","VERIFIKASI",IF(J37&gt;0,IF(H37="Ada","Setara",IF(J37=2,"GAP BESAR","GAP")),IF(OR(D37="Perlu cek",F37="Perlu cek"),IF(H37="Ada","CEK PESAING","PELUANG (cek)"),IF(H37="Ada","KEUNGGULAN UNIK","PELUANG"))))</f>
        <v>GAP</v>
      </c>
      <c r="L37" s="9" t="s">
        <v>69</v>
      </c>
      <c r="M37" s="8"/>
    </row>
    <row r="38" customFormat="false" ht="15" hidden="false" customHeight="false" outlineLevel="0" collapsed="false">
      <c r="A38" s="8" t="n">
        <v>34</v>
      </c>
      <c r="B38" s="8" t="s">
        <v>38</v>
      </c>
      <c r="C38" s="8" t="s">
        <v>181</v>
      </c>
      <c r="D38" s="8" t="s">
        <v>6</v>
      </c>
      <c r="E38" s="8" t="s">
        <v>182</v>
      </c>
      <c r="F38" s="8" t="s">
        <v>6</v>
      </c>
      <c r="G38" s="8" t="s">
        <v>183</v>
      </c>
      <c r="H38" s="9" t="s">
        <v>10</v>
      </c>
      <c r="I38" s="8" t="s">
        <v>84</v>
      </c>
      <c r="J38" s="10" t="n">
        <f aca="false">IF(OR(D38="Ada",D38="Ada (klaim)",D38="Pro"),1,0)+IF(OR(F38="Ada",F38="Ada (klaim)",F38="Pro"),1,0)</f>
        <v>2</v>
      </c>
      <c r="K38" s="8" t="str">
        <f aca="false">IF(H38="Perlu cek","VERIFIKASI",IF(J38&gt;0,IF(H38="Ada","Setara",IF(J38=2,"GAP BESAR","GAP")),IF(OR(D38="Perlu cek",F38="Perlu cek"),IF(H38="Ada","CEK PESAING","PELUANG (cek)"),IF(H38="Ada","KEUNGGULAN UNIK","PELUANG"))))</f>
        <v>GAP BESAR</v>
      </c>
      <c r="L38" s="9" t="s">
        <v>69</v>
      </c>
      <c r="M38" s="8" t="s">
        <v>184</v>
      </c>
    </row>
    <row r="39" customFormat="false" ht="15" hidden="false" customHeight="false" outlineLevel="0" collapsed="false">
      <c r="A39" s="8" t="n">
        <v>35</v>
      </c>
      <c r="B39" s="8" t="s">
        <v>38</v>
      </c>
      <c r="C39" s="8" t="s">
        <v>185</v>
      </c>
      <c r="D39" s="8" t="s">
        <v>11</v>
      </c>
      <c r="E39" s="8" t="s">
        <v>84</v>
      </c>
      <c r="F39" s="8" t="s">
        <v>6</v>
      </c>
      <c r="G39" s="8" t="s">
        <v>186</v>
      </c>
      <c r="H39" s="9" t="s">
        <v>10</v>
      </c>
      <c r="I39" s="8" t="s">
        <v>84</v>
      </c>
      <c r="J39" s="10" t="n">
        <f aca="false">IF(OR(D39="Ada",D39="Ada (klaim)",D39="Pro"),1,0)+IF(OR(F39="Ada",F39="Ada (klaim)",F39="Pro"),1,0)</f>
        <v>1</v>
      </c>
      <c r="K39" s="8" t="str">
        <f aca="false">IF(H39="Perlu cek","VERIFIKASI",IF(J39&gt;0,IF(H39="Ada","Setara",IF(J39=2,"GAP BESAR","GAP")),IF(OR(D39="Perlu cek",F39="Perlu cek"),IF(H39="Ada","CEK PESAING","PELUANG (cek)"),IF(H39="Ada","KEUNGGULAN UNIK","PELUANG"))))</f>
        <v>GAP</v>
      </c>
      <c r="L39" s="9" t="s">
        <v>69</v>
      </c>
      <c r="M39" s="8"/>
    </row>
    <row r="40" customFormat="false" ht="15" hidden="false" customHeight="false" outlineLevel="0" collapsed="false">
      <c r="A40" s="8" t="n">
        <v>36</v>
      </c>
      <c r="B40" s="8" t="s">
        <v>38</v>
      </c>
      <c r="C40" s="8" t="s">
        <v>187</v>
      </c>
      <c r="D40" s="8" t="s">
        <v>7</v>
      </c>
      <c r="E40" s="8" t="s">
        <v>188</v>
      </c>
      <c r="F40" s="8" t="s">
        <v>10</v>
      </c>
      <c r="G40" s="8" t="s">
        <v>84</v>
      </c>
      <c r="H40" s="9" t="s">
        <v>10</v>
      </c>
      <c r="I40" s="8" t="s">
        <v>84</v>
      </c>
      <c r="J40" s="10" t="n">
        <f aca="false">IF(OR(D40="Ada",D40="Ada (klaim)",D40="Pro"),1,0)+IF(OR(F40="Ada",F40="Ada (klaim)",F40="Pro"),1,0)</f>
        <v>1</v>
      </c>
      <c r="K40" s="8" t="str">
        <f aca="false">IF(H40="Perlu cek","VERIFIKASI",IF(J40&gt;0,IF(H40="Ada","Setara",IF(J40=2,"GAP BESAR","GAP")),IF(OR(D40="Perlu cek",F40="Perlu cek"),IF(H40="Ada","CEK PESAING","PELUANG (cek)"),IF(H40="Ada","KEUNGGULAN UNIK","PELUANG"))))</f>
        <v>GAP</v>
      </c>
      <c r="L40" s="9" t="s">
        <v>79</v>
      </c>
      <c r="M40" s="8" t="s">
        <v>189</v>
      </c>
    </row>
    <row r="41" customFormat="false" ht="15" hidden="false" customHeight="false" outlineLevel="0" collapsed="false">
      <c r="A41" s="8" t="n">
        <v>37</v>
      </c>
      <c r="B41" s="8" t="s">
        <v>39</v>
      </c>
      <c r="C41" s="8" t="s">
        <v>190</v>
      </c>
      <c r="D41" s="8" t="s">
        <v>6</v>
      </c>
      <c r="E41" s="8" t="s">
        <v>191</v>
      </c>
      <c r="F41" s="8" t="s">
        <v>6</v>
      </c>
      <c r="G41" s="8" t="s">
        <v>147</v>
      </c>
      <c r="H41" s="9" t="s">
        <v>11</v>
      </c>
      <c r="I41" s="8" t="s">
        <v>84</v>
      </c>
      <c r="J41" s="10" t="n">
        <f aca="false">IF(OR(D41="Ada",D41="Ada (klaim)",D41="Pro"),1,0)+IF(OR(F41="Ada",F41="Ada (klaim)",F41="Pro"),1,0)</f>
        <v>2</v>
      </c>
      <c r="K41" s="8" t="str">
        <f aca="false">IF(H41="Perlu cek","VERIFIKASI",IF(J41&gt;0,IF(H41="Ada","Setara",IF(J41=2,"GAP BESAR","GAP")),IF(OR(D41="Perlu cek",F41="Perlu cek"),IF(H41="Ada","CEK PESAING","PELUANG (cek)"),IF(H41="Ada","KEUNGGULAN UNIK","PELUANG"))))</f>
        <v>VERIFIKASI</v>
      </c>
      <c r="L41" s="9" t="s">
        <v>79</v>
      </c>
      <c r="M41" s="8"/>
    </row>
    <row r="42" customFormat="false" ht="23.85" hidden="false" customHeight="false" outlineLevel="0" collapsed="false">
      <c r="A42" s="8" t="n">
        <v>38</v>
      </c>
      <c r="B42" s="8" t="s">
        <v>39</v>
      </c>
      <c r="C42" s="8" t="s">
        <v>192</v>
      </c>
      <c r="D42" s="8" t="s">
        <v>6</v>
      </c>
      <c r="E42" s="8" t="s">
        <v>193</v>
      </c>
      <c r="F42" s="8" t="s">
        <v>10</v>
      </c>
      <c r="G42" s="8" t="s">
        <v>84</v>
      </c>
      <c r="H42" s="9" t="s">
        <v>10</v>
      </c>
      <c r="I42" s="8" t="s">
        <v>84</v>
      </c>
      <c r="J42" s="10" t="n">
        <f aca="false">IF(OR(D42="Ada",D42="Ada (klaim)",D42="Pro"),1,0)+IF(OR(F42="Ada",F42="Ada (klaim)",F42="Pro"),1,0)</f>
        <v>1</v>
      </c>
      <c r="K42" s="8" t="str">
        <f aca="false">IF(H42="Perlu cek","VERIFIKASI",IF(J42&gt;0,IF(H42="Ada","Setara",IF(J42=2,"GAP BESAR","GAP")),IF(OR(D42="Perlu cek",F42="Perlu cek"),IF(H42="Ada","CEK PESAING","PELUANG (cek)"),IF(H42="Ada","KEUNGGULAN UNIK","PELUANG"))))</f>
        <v>GAP</v>
      </c>
      <c r="L42" s="9" t="s">
        <v>69</v>
      </c>
      <c r="M42" s="8" t="s">
        <v>194</v>
      </c>
    </row>
    <row r="43" customFormat="false" ht="23.85" hidden="false" customHeight="false" outlineLevel="0" collapsed="false">
      <c r="A43" s="8" t="n">
        <v>39</v>
      </c>
      <c r="B43" s="8" t="s">
        <v>39</v>
      </c>
      <c r="C43" s="8" t="s">
        <v>195</v>
      </c>
      <c r="D43" s="8" t="s">
        <v>6</v>
      </c>
      <c r="E43" s="8" t="s">
        <v>196</v>
      </c>
      <c r="F43" s="8" t="s">
        <v>10</v>
      </c>
      <c r="G43" s="8" t="s">
        <v>84</v>
      </c>
      <c r="H43" s="9" t="s">
        <v>10</v>
      </c>
      <c r="I43" s="8" t="s">
        <v>102</v>
      </c>
      <c r="J43" s="10" t="n">
        <f aca="false">IF(OR(D43="Ada",D43="Ada (klaim)",D43="Pro"),1,0)+IF(OR(F43="Ada",F43="Ada (klaim)",F43="Pro"),1,0)</f>
        <v>1</v>
      </c>
      <c r="K43" s="8" t="str">
        <f aca="false">IF(H43="Perlu cek","VERIFIKASI",IF(J43&gt;0,IF(H43="Ada","Setara",IF(J43=2,"GAP BESAR","GAP")),IF(OR(D43="Perlu cek",F43="Perlu cek"),IF(H43="Ada","CEK PESAING","PELUANG (cek)"),IF(H43="Ada","KEUNGGULAN UNIK","PELUANG"))))</f>
        <v>GAP</v>
      </c>
      <c r="L43" s="9" t="s">
        <v>79</v>
      </c>
      <c r="M43" s="8" t="s">
        <v>197</v>
      </c>
    </row>
    <row r="44" customFormat="false" ht="15" hidden="false" customHeight="false" outlineLevel="0" collapsed="false">
      <c r="A44" s="8" t="n">
        <v>40</v>
      </c>
      <c r="B44" s="8" t="s">
        <v>39</v>
      </c>
      <c r="C44" s="8" t="s">
        <v>198</v>
      </c>
      <c r="D44" s="8" t="s">
        <v>11</v>
      </c>
      <c r="E44" s="8" t="s">
        <v>199</v>
      </c>
      <c r="F44" s="8" t="s">
        <v>6</v>
      </c>
      <c r="G44" s="8" t="s">
        <v>200</v>
      </c>
      <c r="H44" s="9" t="s">
        <v>10</v>
      </c>
      <c r="I44" s="8" t="s">
        <v>102</v>
      </c>
      <c r="J44" s="10" t="n">
        <f aca="false">IF(OR(D44="Ada",D44="Ada (klaim)",D44="Pro"),1,0)+IF(OR(F44="Ada",F44="Ada (klaim)",F44="Pro"),1,0)</f>
        <v>1</v>
      </c>
      <c r="K44" s="8" t="str">
        <f aca="false">IF(H44="Perlu cek","VERIFIKASI",IF(J44&gt;0,IF(H44="Ada","Setara",IF(J44=2,"GAP BESAR","GAP")),IF(OR(D44="Perlu cek",F44="Perlu cek"),IF(H44="Ada","CEK PESAING","PELUANG (cek)"),IF(H44="Ada","KEUNGGULAN UNIK","PELUANG"))))</f>
        <v>GAP</v>
      </c>
      <c r="L44" s="9" t="s">
        <v>79</v>
      </c>
      <c r="M44" s="8" t="s">
        <v>201</v>
      </c>
    </row>
    <row r="45" customFormat="false" ht="15" hidden="false" customHeight="false" outlineLevel="0" collapsed="false">
      <c r="A45" s="8" t="n">
        <v>41</v>
      </c>
      <c r="B45" s="8" t="s">
        <v>39</v>
      </c>
      <c r="C45" s="8" t="s">
        <v>202</v>
      </c>
      <c r="D45" s="8" t="s">
        <v>6</v>
      </c>
      <c r="E45" s="8" t="s">
        <v>203</v>
      </c>
      <c r="F45" s="8" t="s">
        <v>6</v>
      </c>
      <c r="G45" s="8" t="s">
        <v>204</v>
      </c>
      <c r="H45" s="9" t="s">
        <v>11</v>
      </c>
      <c r="I45" s="8" t="s">
        <v>84</v>
      </c>
      <c r="J45" s="10" t="n">
        <f aca="false">IF(OR(D45="Ada",D45="Ada (klaim)",D45="Pro"),1,0)+IF(OR(F45="Ada",F45="Ada (klaim)",F45="Pro"),1,0)</f>
        <v>2</v>
      </c>
      <c r="K45" s="8" t="str">
        <f aca="false">IF(H45="Perlu cek","VERIFIKASI",IF(J45&gt;0,IF(H45="Ada","Setara",IF(J45=2,"GAP BESAR","GAP")),IF(OR(D45="Perlu cek",F45="Perlu cek"),IF(H45="Ada","CEK PESAING","PELUANG (cek)"),IF(H45="Ada","KEUNGGULAN UNIK","PELUANG"))))</f>
        <v>VERIFIKASI</v>
      </c>
      <c r="L45" s="9" t="s">
        <v>69</v>
      </c>
      <c r="M45" s="8"/>
    </row>
    <row r="46" customFormat="false" ht="15" hidden="false" customHeight="false" outlineLevel="0" collapsed="false">
      <c r="A46" s="8" t="n">
        <v>42</v>
      </c>
      <c r="B46" s="8" t="s">
        <v>39</v>
      </c>
      <c r="C46" s="8" t="s">
        <v>205</v>
      </c>
      <c r="D46" s="8" t="s">
        <v>6</v>
      </c>
      <c r="E46" s="8" t="s">
        <v>206</v>
      </c>
      <c r="F46" s="8" t="s">
        <v>10</v>
      </c>
      <c r="G46" s="8" t="s">
        <v>84</v>
      </c>
      <c r="H46" s="9" t="s">
        <v>10</v>
      </c>
      <c r="I46" s="8" t="s">
        <v>84</v>
      </c>
      <c r="J46" s="10" t="n">
        <f aca="false">IF(OR(D46="Ada",D46="Ada (klaim)",D46="Pro"),1,0)+IF(OR(F46="Ada",F46="Ada (klaim)",F46="Pro"),1,0)</f>
        <v>1</v>
      </c>
      <c r="K46" s="8" t="str">
        <f aca="false">IF(H46="Perlu cek","VERIFIKASI",IF(J46&gt;0,IF(H46="Ada","Setara",IF(J46=2,"GAP BESAR","GAP")),IF(OR(D46="Perlu cek",F46="Perlu cek"),IF(H46="Ada","CEK PESAING","PELUANG (cek)"),IF(H46="Ada","KEUNGGULAN UNIK","PELUANG"))))</f>
        <v>GAP</v>
      </c>
      <c r="L46" s="9" t="s">
        <v>69</v>
      </c>
      <c r="M46" s="8"/>
    </row>
    <row r="47" customFormat="false" ht="15" hidden="false" customHeight="false" outlineLevel="0" collapsed="false">
      <c r="A47" s="8" t="n">
        <v>43</v>
      </c>
      <c r="B47" s="8" t="s">
        <v>39</v>
      </c>
      <c r="C47" s="8" t="s">
        <v>207</v>
      </c>
      <c r="D47" s="8" t="s">
        <v>6</v>
      </c>
      <c r="E47" s="8" t="s">
        <v>208</v>
      </c>
      <c r="F47" s="8" t="s">
        <v>6</v>
      </c>
      <c r="G47" s="8" t="s">
        <v>209</v>
      </c>
      <c r="H47" s="9" t="s">
        <v>10</v>
      </c>
      <c r="I47" s="8" t="s">
        <v>84</v>
      </c>
      <c r="J47" s="10" t="n">
        <f aca="false">IF(OR(D47="Ada",D47="Ada (klaim)",D47="Pro"),1,0)+IF(OR(F47="Ada",F47="Ada (klaim)",F47="Pro"),1,0)</f>
        <v>2</v>
      </c>
      <c r="K47" s="8" t="str">
        <f aca="false">IF(H47="Perlu cek","VERIFIKASI",IF(J47&gt;0,IF(H47="Ada","Setara",IF(J47=2,"GAP BESAR","GAP")),IF(OR(D47="Perlu cek",F47="Perlu cek"),IF(H47="Ada","CEK PESAING","PELUANG (cek)"),IF(H47="Ada","KEUNGGULAN UNIK","PELUANG"))))</f>
        <v>GAP BESAR</v>
      </c>
      <c r="L47" s="9" t="s">
        <v>69</v>
      </c>
      <c r="M47" s="8"/>
    </row>
    <row r="48" customFormat="false" ht="23.85" hidden="false" customHeight="false" outlineLevel="0" collapsed="false">
      <c r="A48" s="8" t="n">
        <v>44</v>
      </c>
      <c r="B48" s="8" t="s">
        <v>39</v>
      </c>
      <c r="C48" s="8" t="s">
        <v>210</v>
      </c>
      <c r="D48" s="8" t="s">
        <v>6</v>
      </c>
      <c r="E48" s="8" t="s">
        <v>211</v>
      </c>
      <c r="F48" s="8" t="s">
        <v>10</v>
      </c>
      <c r="G48" s="8" t="s">
        <v>84</v>
      </c>
      <c r="H48" s="9" t="s">
        <v>11</v>
      </c>
      <c r="I48" s="8" t="s">
        <v>212</v>
      </c>
      <c r="J48" s="10" t="n">
        <f aca="false">IF(OR(D48="Ada",D48="Ada (klaim)",D48="Pro"),1,0)+IF(OR(F48="Ada",F48="Ada (klaim)",F48="Pro"),1,0)</f>
        <v>1</v>
      </c>
      <c r="K48" s="8" t="str">
        <f aca="false">IF(H48="Perlu cek","VERIFIKASI",IF(J48&gt;0,IF(H48="Ada","Setara",IF(J48=2,"GAP BESAR","GAP")),IF(OR(D48="Perlu cek",F48="Perlu cek"),IF(H48="Ada","CEK PESAING","PELUANG (cek)"),IF(H48="Ada","KEUNGGULAN UNIK","PELUANG"))))</f>
        <v>VERIFIKASI</v>
      </c>
      <c r="L48" s="9" t="s">
        <v>69</v>
      </c>
      <c r="M48" s="8" t="s">
        <v>213</v>
      </c>
    </row>
    <row r="49" customFormat="false" ht="23.85" hidden="false" customHeight="false" outlineLevel="0" collapsed="false">
      <c r="A49" s="8" t="n">
        <v>45</v>
      </c>
      <c r="B49" s="8" t="s">
        <v>39</v>
      </c>
      <c r="C49" s="8" t="s">
        <v>214</v>
      </c>
      <c r="D49" s="8" t="s">
        <v>7</v>
      </c>
      <c r="E49" s="8" t="s">
        <v>215</v>
      </c>
      <c r="F49" s="8" t="s">
        <v>8</v>
      </c>
      <c r="G49" s="8" t="s">
        <v>216</v>
      </c>
      <c r="H49" s="9" t="s">
        <v>9</v>
      </c>
      <c r="I49" s="8" t="s">
        <v>217</v>
      </c>
      <c r="J49" s="10" t="n">
        <f aca="false">IF(OR(D49="Ada",D49="Ada (klaim)",D49="Pro"),1,0)+IF(OR(F49="Ada",F49="Ada (klaim)",F49="Pro"),1,0)</f>
        <v>2</v>
      </c>
      <c r="K49" s="8" t="str">
        <f aca="false">IF(H49="Perlu cek","VERIFIKASI",IF(J49&gt;0,IF(H49="Ada","Setara",IF(J49=2,"GAP BESAR","GAP")),IF(OR(D49="Perlu cek",F49="Perlu cek"),IF(H49="Ada","CEK PESAING","PELUANG (cek)"),IF(H49="Ada","KEUNGGULAN UNIK","PELUANG"))))</f>
        <v>GAP BESAR</v>
      </c>
      <c r="L49" s="9" t="s">
        <v>69</v>
      </c>
      <c r="M49" s="8"/>
    </row>
    <row r="50" customFormat="false" ht="23.85" hidden="false" customHeight="false" outlineLevel="0" collapsed="false">
      <c r="A50" s="8" t="n">
        <v>46</v>
      </c>
      <c r="B50" s="8" t="s">
        <v>40</v>
      </c>
      <c r="C50" s="8" t="s">
        <v>218</v>
      </c>
      <c r="D50" s="8" t="s">
        <v>6</v>
      </c>
      <c r="E50" s="8" t="s">
        <v>219</v>
      </c>
      <c r="F50" s="8" t="s">
        <v>6</v>
      </c>
      <c r="G50" s="8" t="s">
        <v>220</v>
      </c>
      <c r="H50" s="9" t="s">
        <v>11</v>
      </c>
      <c r="I50" s="8" t="s">
        <v>84</v>
      </c>
      <c r="J50" s="10" t="n">
        <f aca="false">IF(OR(D50="Ada",D50="Ada (klaim)",D50="Pro"),1,0)+IF(OR(F50="Ada",F50="Ada (klaim)",F50="Pro"),1,0)</f>
        <v>2</v>
      </c>
      <c r="K50" s="8" t="str">
        <f aca="false">IF(H50="Perlu cek","VERIFIKASI",IF(J50&gt;0,IF(H50="Ada","Setara",IF(J50=2,"GAP BESAR","GAP")),IF(OR(D50="Perlu cek",F50="Perlu cek"),IF(H50="Ada","CEK PESAING","PELUANG (cek)"),IF(H50="Ada","KEUNGGULAN UNIK","PELUANG"))))</f>
        <v>VERIFIKASI</v>
      </c>
      <c r="L50" s="9" t="s">
        <v>79</v>
      </c>
      <c r="M50" s="8"/>
    </row>
    <row r="51" customFormat="false" ht="15" hidden="false" customHeight="false" outlineLevel="0" collapsed="false">
      <c r="A51" s="8" t="n">
        <v>47</v>
      </c>
      <c r="B51" s="8" t="s">
        <v>40</v>
      </c>
      <c r="C51" s="8" t="s">
        <v>221</v>
      </c>
      <c r="D51" s="8" t="s">
        <v>6</v>
      </c>
      <c r="E51" s="8" t="s">
        <v>222</v>
      </c>
      <c r="F51" s="8" t="s">
        <v>10</v>
      </c>
      <c r="G51" s="8" t="s">
        <v>84</v>
      </c>
      <c r="H51" s="9" t="s">
        <v>10</v>
      </c>
      <c r="I51" s="8" t="s">
        <v>84</v>
      </c>
      <c r="J51" s="10" t="n">
        <f aca="false">IF(OR(D51="Ada",D51="Ada (klaim)",D51="Pro"),1,0)+IF(OR(F51="Ada",F51="Ada (klaim)",F51="Pro"),1,0)</f>
        <v>1</v>
      </c>
      <c r="K51" s="8" t="str">
        <f aca="false">IF(H51="Perlu cek","VERIFIKASI",IF(J51&gt;0,IF(H51="Ada","Setara",IF(J51=2,"GAP BESAR","GAP")),IF(OR(D51="Perlu cek",F51="Perlu cek"),IF(H51="Ada","CEK PESAING","PELUANG (cek)"),IF(H51="Ada","KEUNGGULAN UNIK","PELUANG"))))</f>
        <v>GAP</v>
      </c>
      <c r="L51" s="9" t="s">
        <v>63</v>
      </c>
      <c r="M51" s="8"/>
    </row>
    <row r="52" customFormat="false" ht="15" hidden="false" customHeight="false" outlineLevel="0" collapsed="false">
      <c r="A52" s="8" t="n">
        <v>48</v>
      </c>
      <c r="B52" s="8" t="s">
        <v>40</v>
      </c>
      <c r="C52" s="8" t="s">
        <v>223</v>
      </c>
      <c r="D52" s="8" t="s">
        <v>7</v>
      </c>
      <c r="E52" s="8" t="s">
        <v>224</v>
      </c>
      <c r="F52" s="8" t="s">
        <v>10</v>
      </c>
      <c r="G52" s="8" t="s">
        <v>84</v>
      </c>
      <c r="H52" s="9" t="s">
        <v>10</v>
      </c>
      <c r="I52" s="8" t="s">
        <v>84</v>
      </c>
      <c r="J52" s="10" t="n">
        <f aca="false">IF(OR(D52="Ada",D52="Ada (klaim)",D52="Pro"),1,0)+IF(OR(F52="Ada",F52="Ada (klaim)",F52="Pro"),1,0)</f>
        <v>1</v>
      </c>
      <c r="K52" s="8" t="str">
        <f aca="false">IF(H52="Perlu cek","VERIFIKASI",IF(J52&gt;0,IF(H52="Ada","Setara",IF(J52=2,"GAP BESAR","GAP")),IF(OR(D52="Perlu cek",F52="Perlu cek"),IF(H52="Ada","CEK PESAING","PELUANG (cek)"),IF(H52="Ada","KEUNGGULAN UNIK","PELUANG"))))</f>
        <v>GAP</v>
      </c>
      <c r="L52" s="9" t="s">
        <v>63</v>
      </c>
      <c r="M52" s="8" t="s">
        <v>225</v>
      </c>
    </row>
    <row r="53" customFormat="false" ht="15" hidden="false" customHeight="false" outlineLevel="0" collapsed="false">
      <c r="A53" s="8" t="n">
        <v>49</v>
      </c>
      <c r="B53" s="8" t="s">
        <v>40</v>
      </c>
      <c r="C53" s="8" t="s">
        <v>226</v>
      </c>
      <c r="D53" s="8" t="s">
        <v>7</v>
      </c>
      <c r="E53" s="8" t="s">
        <v>138</v>
      </c>
      <c r="F53" s="8" t="s">
        <v>11</v>
      </c>
      <c r="G53" s="8" t="s">
        <v>84</v>
      </c>
      <c r="H53" s="9" t="s">
        <v>10</v>
      </c>
      <c r="I53" s="8" t="s">
        <v>84</v>
      </c>
      <c r="J53" s="10" t="n">
        <f aca="false">IF(OR(D53="Ada",D53="Ada (klaim)",D53="Pro"),1,0)+IF(OR(F53="Ada",F53="Ada (klaim)",F53="Pro"),1,0)</f>
        <v>1</v>
      </c>
      <c r="K53" s="8" t="str">
        <f aca="false">IF(H53="Perlu cek","VERIFIKASI",IF(J53&gt;0,IF(H53="Ada","Setara",IF(J53=2,"GAP BESAR","GAP")),IF(OR(D53="Perlu cek",F53="Perlu cek"),IF(H53="Ada","CEK PESAING","PELUANG (cek)"),IF(H53="Ada","KEUNGGULAN UNIK","PELUANG"))))</f>
        <v>GAP</v>
      </c>
      <c r="L53" s="9" t="s">
        <v>69</v>
      </c>
      <c r="M53" s="8" t="s">
        <v>227</v>
      </c>
    </row>
    <row r="54" customFormat="false" ht="15" hidden="false" customHeight="false" outlineLevel="0" collapsed="false">
      <c r="A54" s="8" t="n">
        <v>50</v>
      </c>
      <c r="B54" s="8" t="s">
        <v>41</v>
      </c>
      <c r="C54" s="8" t="s">
        <v>228</v>
      </c>
      <c r="D54" s="8" t="s">
        <v>6</v>
      </c>
      <c r="E54" s="8" t="s">
        <v>229</v>
      </c>
      <c r="F54" s="8" t="s">
        <v>6</v>
      </c>
      <c r="G54" s="8" t="s">
        <v>230</v>
      </c>
      <c r="H54" s="9" t="s">
        <v>10</v>
      </c>
      <c r="I54" s="8" t="s">
        <v>84</v>
      </c>
      <c r="J54" s="10" t="n">
        <f aca="false">IF(OR(D54="Ada",D54="Ada (klaim)",D54="Pro"),1,0)+IF(OR(F54="Ada",F54="Ada (klaim)",F54="Pro"),1,0)</f>
        <v>2</v>
      </c>
      <c r="K54" s="8" t="str">
        <f aca="false">IF(H54="Perlu cek","VERIFIKASI",IF(J54&gt;0,IF(H54="Ada","Setara",IF(J54=2,"GAP BESAR","GAP")),IF(OR(D54="Perlu cek",F54="Perlu cek"),IF(H54="Ada","CEK PESAING","PELUANG (cek)"),IF(H54="Ada","KEUNGGULAN UNIK","PELUANG"))))</f>
        <v>GAP BESAR</v>
      </c>
      <c r="L54" s="9" t="s">
        <v>69</v>
      </c>
      <c r="M54" s="8" t="s">
        <v>231</v>
      </c>
    </row>
    <row r="55" customFormat="false" ht="15" hidden="false" customHeight="false" outlineLevel="0" collapsed="false">
      <c r="A55" s="8" t="n">
        <v>51</v>
      </c>
      <c r="B55" s="8" t="s">
        <v>41</v>
      </c>
      <c r="C55" s="8" t="s">
        <v>232</v>
      </c>
      <c r="D55" s="8" t="s">
        <v>6</v>
      </c>
      <c r="E55" s="8" t="s">
        <v>233</v>
      </c>
      <c r="F55" s="8" t="s">
        <v>11</v>
      </c>
      <c r="G55" s="8" t="s">
        <v>84</v>
      </c>
      <c r="H55" s="9" t="s">
        <v>10</v>
      </c>
      <c r="I55" s="8" t="s">
        <v>84</v>
      </c>
      <c r="J55" s="10" t="n">
        <f aca="false">IF(OR(D55="Ada",D55="Ada (klaim)",D55="Pro"),1,0)+IF(OR(F55="Ada",F55="Ada (klaim)",F55="Pro"),1,0)</f>
        <v>1</v>
      </c>
      <c r="K55" s="8" t="str">
        <f aca="false">IF(H55="Perlu cek","VERIFIKASI",IF(J55&gt;0,IF(H55="Ada","Setara",IF(J55=2,"GAP BESAR","GAP")),IF(OR(D55="Perlu cek",F55="Perlu cek"),IF(H55="Ada","CEK PESAING","PELUANG (cek)"),IF(H55="Ada","KEUNGGULAN UNIK","PELUANG"))))</f>
        <v>GAP</v>
      </c>
      <c r="L55" s="9" t="s">
        <v>69</v>
      </c>
      <c r="M55" s="8"/>
    </row>
    <row r="56" customFormat="false" ht="15" hidden="false" customHeight="false" outlineLevel="0" collapsed="false">
      <c r="A56" s="8" t="n">
        <v>52</v>
      </c>
      <c r="B56" s="8" t="s">
        <v>41</v>
      </c>
      <c r="C56" s="8" t="s">
        <v>234</v>
      </c>
      <c r="D56" s="8" t="s">
        <v>6</v>
      </c>
      <c r="E56" s="8" t="s">
        <v>235</v>
      </c>
      <c r="F56" s="8" t="s">
        <v>11</v>
      </c>
      <c r="G56" s="8" t="s">
        <v>84</v>
      </c>
      <c r="H56" s="9" t="s">
        <v>10</v>
      </c>
      <c r="I56" s="8" t="s">
        <v>84</v>
      </c>
      <c r="J56" s="10" t="n">
        <f aca="false">IF(OR(D56="Ada",D56="Ada (klaim)",D56="Pro"),1,0)+IF(OR(F56="Ada",F56="Ada (klaim)",F56="Pro"),1,0)</f>
        <v>1</v>
      </c>
      <c r="K56" s="8" t="str">
        <f aca="false">IF(H56="Perlu cek","VERIFIKASI",IF(J56&gt;0,IF(H56="Ada","Setara",IF(J56=2,"GAP BESAR","GAP")),IF(OR(D56="Perlu cek",F56="Perlu cek"),IF(H56="Ada","CEK PESAING","PELUANG (cek)"),IF(H56="Ada","KEUNGGULAN UNIK","PELUANG"))))</f>
        <v>GAP</v>
      </c>
      <c r="L56" s="9" t="s">
        <v>69</v>
      </c>
      <c r="M56" s="8"/>
    </row>
    <row r="57" customFormat="false" ht="15" hidden="false" customHeight="false" outlineLevel="0" collapsed="false">
      <c r="A57" s="8" t="n">
        <v>53</v>
      </c>
      <c r="B57" s="8" t="s">
        <v>41</v>
      </c>
      <c r="C57" s="8" t="s">
        <v>236</v>
      </c>
      <c r="D57" s="8" t="s">
        <v>7</v>
      </c>
      <c r="E57" s="8" t="s">
        <v>138</v>
      </c>
      <c r="F57" s="8" t="s">
        <v>11</v>
      </c>
      <c r="G57" s="8" t="s">
        <v>84</v>
      </c>
      <c r="H57" s="9" t="s">
        <v>10</v>
      </c>
      <c r="I57" s="8" t="s">
        <v>84</v>
      </c>
      <c r="J57" s="10" t="n">
        <f aca="false">IF(OR(D57="Ada",D57="Ada (klaim)",D57="Pro"),1,0)+IF(OR(F57="Ada",F57="Ada (klaim)",F57="Pro"),1,0)</f>
        <v>1</v>
      </c>
      <c r="K57" s="8" t="str">
        <f aca="false">IF(H57="Perlu cek","VERIFIKASI",IF(J57&gt;0,IF(H57="Ada","Setara",IF(J57=2,"GAP BESAR","GAP")),IF(OR(D57="Perlu cek",F57="Perlu cek"),IF(H57="Ada","CEK PESAING","PELUANG (cek)"),IF(H57="Ada","KEUNGGULAN UNIK","PELUANG"))))</f>
        <v>GAP</v>
      </c>
      <c r="L57" s="9" t="s">
        <v>63</v>
      </c>
      <c r="M57" s="8"/>
    </row>
    <row r="58" customFormat="false" ht="15" hidden="false" customHeight="false" outlineLevel="0" collapsed="false">
      <c r="A58" s="8" t="n">
        <v>54</v>
      </c>
      <c r="B58" s="8" t="s">
        <v>41</v>
      </c>
      <c r="C58" s="8" t="s">
        <v>237</v>
      </c>
      <c r="D58" s="8" t="s">
        <v>6</v>
      </c>
      <c r="E58" s="8" t="s">
        <v>238</v>
      </c>
      <c r="F58" s="8" t="s">
        <v>10</v>
      </c>
      <c r="G58" s="8" t="s">
        <v>84</v>
      </c>
      <c r="H58" s="9" t="s">
        <v>10</v>
      </c>
      <c r="I58" s="8" t="s">
        <v>84</v>
      </c>
      <c r="J58" s="10" t="n">
        <f aca="false">IF(OR(D58="Ada",D58="Ada (klaim)",D58="Pro"),1,0)+IF(OR(F58="Ada",F58="Ada (klaim)",F58="Pro"),1,0)</f>
        <v>1</v>
      </c>
      <c r="K58" s="8" t="str">
        <f aca="false">IF(H58="Perlu cek","VERIFIKASI",IF(J58&gt;0,IF(H58="Ada","Setara",IF(J58=2,"GAP BESAR","GAP")),IF(OR(D58="Perlu cek",F58="Perlu cek"),IF(H58="Ada","CEK PESAING","PELUANG (cek)"),IF(H58="Ada","KEUNGGULAN UNIK","PELUANG"))))</f>
        <v>GAP</v>
      </c>
      <c r="L58" s="9" t="s">
        <v>63</v>
      </c>
      <c r="M58" s="8"/>
    </row>
    <row r="59" customFormat="false" ht="15" hidden="false" customHeight="false" outlineLevel="0" collapsed="false">
      <c r="A59" s="8" t="n">
        <v>55</v>
      </c>
      <c r="B59" s="8" t="s">
        <v>41</v>
      </c>
      <c r="C59" s="8" t="s">
        <v>239</v>
      </c>
      <c r="D59" s="8" t="s">
        <v>6</v>
      </c>
      <c r="E59" s="8" t="s">
        <v>240</v>
      </c>
      <c r="F59" s="8" t="s">
        <v>10</v>
      </c>
      <c r="G59" s="8" t="s">
        <v>84</v>
      </c>
      <c r="H59" s="9" t="s">
        <v>10</v>
      </c>
      <c r="I59" s="8" t="s">
        <v>84</v>
      </c>
      <c r="J59" s="10" t="n">
        <f aca="false">IF(OR(D59="Ada",D59="Ada (klaim)",D59="Pro"),1,0)+IF(OR(F59="Ada",F59="Ada (klaim)",F59="Pro"),1,0)</f>
        <v>1</v>
      </c>
      <c r="K59" s="8" t="str">
        <f aca="false">IF(H59="Perlu cek","VERIFIKASI",IF(J59&gt;0,IF(H59="Ada","Setara",IF(J59=2,"GAP BESAR","GAP")),IF(OR(D59="Perlu cek",F59="Perlu cek"),IF(H59="Ada","CEK PESAING","PELUANG (cek)"),IF(H59="Ada","KEUNGGULAN UNIK","PELUANG"))))</f>
        <v>GAP</v>
      </c>
      <c r="L59" s="9" t="s">
        <v>63</v>
      </c>
      <c r="M59" s="8"/>
    </row>
    <row r="60" customFormat="false" ht="23.85" hidden="false" customHeight="false" outlineLevel="0" collapsed="false">
      <c r="A60" s="8" t="n">
        <v>56</v>
      </c>
      <c r="B60" s="8" t="s">
        <v>41</v>
      </c>
      <c r="C60" s="8" t="s">
        <v>241</v>
      </c>
      <c r="D60" s="8" t="s">
        <v>6</v>
      </c>
      <c r="E60" s="8" t="s">
        <v>242</v>
      </c>
      <c r="F60" s="8" t="s">
        <v>10</v>
      </c>
      <c r="G60" s="8" t="s">
        <v>84</v>
      </c>
      <c r="H60" s="9" t="s">
        <v>10</v>
      </c>
      <c r="I60" s="8" t="s">
        <v>243</v>
      </c>
      <c r="J60" s="10" t="n">
        <f aca="false">IF(OR(D60="Ada",D60="Ada (klaim)",D60="Pro"),1,0)+IF(OR(F60="Ada",F60="Ada (klaim)",F60="Pro"),1,0)</f>
        <v>1</v>
      </c>
      <c r="K60" s="8" t="str">
        <f aca="false">IF(H60="Perlu cek","VERIFIKASI",IF(J60&gt;0,IF(H60="Ada","Setara",IF(J60=2,"GAP BESAR","GAP")),IF(OR(D60="Perlu cek",F60="Perlu cek"),IF(H60="Ada","CEK PESAING","PELUANG (cek)"),IF(H60="Ada","KEUNGGULAN UNIK","PELUANG"))))</f>
        <v>GAP</v>
      </c>
      <c r="L60" s="9" t="s">
        <v>79</v>
      </c>
      <c r="M60" s="8" t="s">
        <v>244</v>
      </c>
    </row>
    <row r="61" customFormat="false" ht="15" hidden="false" customHeight="false" outlineLevel="0" collapsed="false">
      <c r="A61" s="8" t="n">
        <v>57</v>
      </c>
      <c r="B61" s="8" t="s">
        <v>41</v>
      </c>
      <c r="C61" s="8" t="s">
        <v>245</v>
      </c>
      <c r="D61" s="8" t="s">
        <v>7</v>
      </c>
      <c r="E61" s="8" t="s">
        <v>246</v>
      </c>
      <c r="F61" s="8" t="s">
        <v>10</v>
      </c>
      <c r="G61" s="8" t="s">
        <v>84</v>
      </c>
      <c r="H61" s="9" t="s">
        <v>10</v>
      </c>
      <c r="I61" s="8" t="s">
        <v>84</v>
      </c>
      <c r="J61" s="10" t="n">
        <f aca="false">IF(OR(D61="Ada",D61="Ada (klaim)",D61="Pro"),1,0)+IF(OR(F61="Ada",F61="Ada (klaim)",F61="Pro"),1,0)</f>
        <v>1</v>
      </c>
      <c r="K61" s="8" t="str">
        <f aca="false">IF(H61="Perlu cek","VERIFIKASI",IF(J61&gt;0,IF(H61="Ada","Setara",IF(J61=2,"GAP BESAR","GAP")),IF(OR(D61="Perlu cek",F61="Perlu cek"),IF(H61="Ada","CEK PESAING","PELUANG (cek)"),IF(H61="Ada","KEUNGGULAN UNIK","PELUANG"))))</f>
        <v>GAP</v>
      </c>
      <c r="L61" s="9" t="s">
        <v>69</v>
      </c>
      <c r="M61" s="8"/>
    </row>
    <row r="62" customFormat="false" ht="15" hidden="false" customHeight="false" outlineLevel="0" collapsed="false">
      <c r="A62" s="8" t="n">
        <v>58</v>
      </c>
      <c r="B62" s="8" t="s">
        <v>41</v>
      </c>
      <c r="C62" s="8" t="s">
        <v>247</v>
      </c>
      <c r="D62" s="8" t="s">
        <v>6</v>
      </c>
      <c r="E62" s="8" t="s">
        <v>248</v>
      </c>
      <c r="F62" s="8" t="s">
        <v>10</v>
      </c>
      <c r="G62" s="8" t="s">
        <v>84</v>
      </c>
      <c r="H62" s="9" t="s">
        <v>10</v>
      </c>
      <c r="I62" s="8" t="s">
        <v>84</v>
      </c>
      <c r="J62" s="10" t="n">
        <f aca="false">IF(OR(D62="Ada",D62="Ada (klaim)",D62="Pro"),1,0)+IF(OR(F62="Ada",F62="Ada (klaim)",F62="Pro"),1,0)</f>
        <v>1</v>
      </c>
      <c r="K62" s="8" t="str">
        <f aca="false">IF(H62="Perlu cek","VERIFIKASI",IF(J62&gt;0,IF(H62="Ada","Setara",IF(J62=2,"GAP BESAR","GAP")),IF(OR(D62="Perlu cek",F62="Perlu cek"),IF(H62="Ada","CEK PESAING","PELUANG (cek)"),IF(H62="Ada","KEUNGGULAN UNIK","PELUANG"))))</f>
        <v>GAP</v>
      </c>
      <c r="L62" s="9" t="s">
        <v>63</v>
      </c>
      <c r="M62" s="8"/>
    </row>
    <row r="63" customFormat="false" ht="15" hidden="false" customHeight="false" outlineLevel="0" collapsed="false">
      <c r="A63" s="8" t="n">
        <v>59</v>
      </c>
      <c r="B63" s="8" t="s">
        <v>42</v>
      </c>
      <c r="C63" s="8" t="s">
        <v>249</v>
      </c>
      <c r="D63" s="8" t="s">
        <v>6</v>
      </c>
      <c r="E63" s="8" t="s">
        <v>250</v>
      </c>
      <c r="F63" s="8" t="s">
        <v>11</v>
      </c>
      <c r="G63" s="8" t="s">
        <v>84</v>
      </c>
      <c r="H63" s="9" t="s">
        <v>10</v>
      </c>
      <c r="I63" s="8" t="s">
        <v>84</v>
      </c>
      <c r="J63" s="10" t="n">
        <f aca="false">IF(OR(D63="Ada",D63="Ada (klaim)",D63="Pro"),1,0)+IF(OR(F63="Ada",F63="Ada (klaim)",F63="Pro"),1,0)</f>
        <v>1</v>
      </c>
      <c r="K63" s="8" t="str">
        <f aca="false">IF(H63="Perlu cek","VERIFIKASI",IF(J63&gt;0,IF(H63="Ada","Setara",IF(J63=2,"GAP BESAR","GAP")),IF(OR(D63="Perlu cek",F63="Perlu cek"),IF(H63="Ada","CEK PESAING","PELUANG (cek)"),IF(H63="Ada","KEUNGGULAN UNIK","PELUANG"))))</f>
        <v>GAP</v>
      </c>
      <c r="L63" s="9" t="s">
        <v>79</v>
      </c>
      <c r="M63" s="8"/>
    </row>
    <row r="64" customFormat="false" ht="15" hidden="false" customHeight="false" outlineLevel="0" collapsed="false">
      <c r="A64" s="8" t="n">
        <v>60</v>
      </c>
      <c r="B64" s="8" t="s">
        <v>42</v>
      </c>
      <c r="C64" s="8" t="s">
        <v>251</v>
      </c>
      <c r="D64" s="8" t="s">
        <v>10</v>
      </c>
      <c r="E64" s="8" t="s">
        <v>252</v>
      </c>
      <c r="F64" s="8" t="s">
        <v>6</v>
      </c>
      <c r="G64" s="8" t="s">
        <v>253</v>
      </c>
      <c r="H64" s="9" t="s">
        <v>10</v>
      </c>
      <c r="I64" s="8" t="s">
        <v>84</v>
      </c>
      <c r="J64" s="10" t="n">
        <f aca="false">IF(OR(D64="Ada",D64="Ada (klaim)",D64="Pro"),1,0)+IF(OR(F64="Ada",F64="Ada (klaim)",F64="Pro"),1,0)</f>
        <v>1</v>
      </c>
      <c r="K64" s="8" t="str">
        <f aca="false">IF(H64="Perlu cek","VERIFIKASI",IF(J64&gt;0,IF(H64="Ada","Setara",IF(J64=2,"GAP BESAR","GAP")),IF(OR(D64="Perlu cek",F64="Perlu cek"),IF(H64="Ada","CEK PESAING","PELUANG (cek)"),IF(H64="Ada","KEUNGGULAN UNIK","PELUANG"))))</f>
        <v>GAP</v>
      </c>
      <c r="L64" s="9" t="s">
        <v>69</v>
      </c>
      <c r="M64" s="8"/>
    </row>
    <row r="65" customFormat="false" ht="15" hidden="false" customHeight="false" outlineLevel="0" collapsed="false">
      <c r="A65" s="8" t="n">
        <v>61</v>
      </c>
      <c r="B65" s="8" t="s">
        <v>42</v>
      </c>
      <c r="C65" s="8" t="s">
        <v>254</v>
      </c>
      <c r="D65" s="8" t="s">
        <v>11</v>
      </c>
      <c r="E65" s="8" t="s">
        <v>84</v>
      </c>
      <c r="F65" s="8" t="s">
        <v>9</v>
      </c>
      <c r="G65" s="8" t="s">
        <v>255</v>
      </c>
      <c r="H65" s="9" t="s">
        <v>9</v>
      </c>
      <c r="I65" s="8" t="s">
        <v>256</v>
      </c>
      <c r="J65" s="10" t="n">
        <f aca="false">IF(OR(D65="Ada",D65="Ada (klaim)",D65="Pro"),1,0)+IF(OR(F65="Ada",F65="Ada (klaim)",F65="Pro"),1,0)</f>
        <v>0</v>
      </c>
      <c r="K65" s="8" t="str">
        <f aca="false">IF(H65="Perlu cek","VERIFIKASI",IF(J65&gt;0,IF(H65="Ada","Setara",IF(J65=2,"GAP BESAR","GAP")),IF(OR(D65="Perlu cek",F65="Perlu cek"),IF(H65="Ada","CEK PESAING","PELUANG (cek)"),IF(H65="Ada","KEUNGGULAN UNIK","PELUANG"))))</f>
        <v>PELUANG (cek)</v>
      </c>
      <c r="L65" s="9" t="s">
        <v>79</v>
      </c>
      <c r="M65" s="8" t="s">
        <v>257</v>
      </c>
    </row>
    <row r="66" customFormat="false" ht="15" hidden="false" customHeight="false" outlineLevel="0" collapsed="false">
      <c r="A66" s="8" t="n">
        <v>62</v>
      </c>
      <c r="B66" s="8" t="s">
        <v>42</v>
      </c>
      <c r="C66" s="8" t="s">
        <v>258</v>
      </c>
      <c r="D66" s="8" t="s">
        <v>11</v>
      </c>
      <c r="E66" s="8" t="s">
        <v>84</v>
      </c>
      <c r="F66" s="8" t="s">
        <v>9</v>
      </c>
      <c r="G66" s="8" t="s">
        <v>259</v>
      </c>
      <c r="H66" s="9" t="s">
        <v>11</v>
      </c>
      <c r="I66" s="8" t="s">
        <v>84</v>
      </c>
      <c r="J66" s="10" t="n">
        <f aca="false">IF(OR(D66="Ada",D66="Ada (klaim)",D66="Pro"),1,0)+IF(OR(F66="Ada",F66="Ada (klaim)",F66="Pro"),1,0)</f>
        <v>0</v>
      </c>
      <c r="K66" s="8" t="str">
        <f aca="false">IF(H66="Perlu cek","VERIFIKASI",IF(J66&gt;0,IF(H66="Ada","Setara",IF(J66=2,"GAP BESAR","GAP")),IF(OR(D66="Perlu cek",F66="Perlu cek"),IF(H66="Ada","CEK PESAING","PELUANG (cek)"),IF(H66="Ada","KEUNGGULAN UNIK","PELUANG"))))</f>
        <v>VERIFIKASI</v>
      </c>
      <c r="L66" s="9" t="s">
        <v>79</v>
      </c>
      <c r="M66" s="8"/>
    </row>
    <row r="67" customFormat="false" ht="23.85" hidden="false" customHeight="false" outlineLevel="0" collapsed="false">
      <c r="A67" s="8" t="n">
        <v>63</v>
      </c>
      <c r="B67" s="8" t="s">
        <v>42</v>
      </c>
      <c r="C67" s="8" t="s">
        <v>260</v>
      </c>
      <c r="D67" s="8" t="s">
        <v>10</v>
      </c>
      <c r="E67" s="8" t="s">
        <v>84</v>
      </c>
      <c r="F67" s="8" t="s">
        <v>10</v>
      </c>
      <c r="G67" s="8" t="s">
        <v>84</v>
      </c>
      <c r="H67" s="9" t="s">
        <v>10</v>
      </c>
      <c r="I67" s="8" t="s">
        <v>102</v>
      </c>
      <c r="J67" s="10" t="n">
        <f aca="false">IF(OR(D67="Ada",D67="Ada (klaim)",D67="Pro"),1,0)+IF(OR(F67="Ada",F67="Ada (klaim)",F67="Pro"),1,0)</f>
        <v>0</v>
      </c>
      <c r="K67" s="8" t="str">
        <f aca="false">IF(H67="Perlu cek","VERIFIKASI",IF(J67&gt;0,IF(H67="Ada","Setara",IF(J67=2,"GAP BESAR","GAP")),IF(OR(D67="Perlu cek",F67="Perlu cek"),IF(H67="Ada","CEK PESAING","PELUANG (cek)"),IF(H67="Ada","KEUNGGULAN UNIK","PELUANG"))))</f>
        <v>PELUANG</v>
      </c>
      <c r="L67" s="9" t="s">
        <v>79</v>
      </c>
      <c r="M67" s="8" t="s">
        <v>261</v>
      </c>
    </row>
    <row r="68" customFormat="false" ht="15" hidden="false" customHeight="false" outlineLevel="0" collapsed="false">
      <c r="A68" s="8" t="n">
        <v>64</v>
      </c>
      <c r="B68" s="8" t="s">
        <v>43</v>
      </c>
      <c r="C68" s="8" t="s">
        <v>262</v>
      </c>
      <c r="D68" s="8" t="s">
        <v>6</v>
      </c>
      <c r="E68" s="8" t="s">
        <v>263</v>
      </c>
      <c r="F68" s="8" t="s">
        <v>6</v>
      </c>
      <c r="G68" s="8" t="s">
        <v>264</v>
      </c>
      <c r="H68" s="9" t="s">
        <v>10</v>
      </c>
      <c r="I68" s="8" t="s">
        <v>84</v>
      </c>
      <c r="J68" s="10" t="n">
        <f aca="false">IF(OR(D68="Ada",D68="Ada (klaim)",D68="Pro"),1,0)+IF(OR(F68="Ada",F68="Ada (klaim)",F68="Pro"),1,0)</f>
        <v>2</v>
      </c>
      <c r="K68" s="8" t="str">
        <f aca="false">IF(H68="Perlu cek","VERIFIKASI",IF(J68&gt;0,IF(H68="Ada","Setara",IF(J68=2,"GAP BESAR","GAP")),IF(OR(D68="Perlu cek",F68="Perlu cek"),IF(H68="Ada","CEK PESAING","PELUANG (cek)"),IF(H68="Ada","KEUNGGULAN UNIK","PELUANG"))))</f>
        <v>GAP BESAR</v>
      </c>
      <c r="L68" s="9" t="s">
        <v>69</v>
      </c>
      <c r="M68" s="8"/>
    </row>
    <row r="69" customFormat="false" ht="15" hidden="false" customHeight="false" outlineLevel="0" collapsed="false">
      <c r="A69" s="8" t="n">
        <v>65</v>
      </c>
      <c r="B69" s="8" t="s">
        <v>43</v>
      </c>
      <c r="C69" s="8" t="s">
        <v>265</v>
      </c>
      <c r="D69" s="8" t="s">
        <v>11</v>
      </c>
      <c r="E69" s="8" t="s">
        <v>84</v>
      </c>
      <c r="F69" s="8" t="s">
        <v>6</v>
      </c>
      <c r="G69" s="8" t="s">
        <v>266</v>
      </c>
      <c r="H69" s="9" t="s">
        <v>10</v>
      </c>
      <c r="I69" s="8" t="s">
        <v>84</v>
      </c>
      <c r="J69" s="10" t="n">
        <f aca="false">IF(OR(D69="Ada",D69="Ada (klaim)",D69="Pro"),1,0)+IF(OR(F69="Ada",F69="Ada (klaim)",F69="Pro"),1,0)</f>
        <v>1</v>
      </c>
      <c r="K69" s="8" t="str">
        <f aca="false">IF(H69="Perlu cek","VERIFIKASI",IF(J69&gt;0,IF(H69="Ada","Setara",IF(J69=2,"GAP BESAR","GAP")),IF(OR(D69="Perlu cek",F69="Perlu cek"),IF(H69="Ada","CEK PESAING","PELUANG (cek)"),IF(H69="Ada","KEUNGGULAN UNIK","PELUANG"))))</f>
        <v>GAP</v>
      </c>
      <c r="L69" s="9" t="s">
        <v>69</v>
      </c>
      <c r="M69" s="8"/>
    </row>
    <row r="70" customFormat="false" ht="23.85" hidden="false" customHeight="false" outlineLevel="0" collapsed="false">
      <c r="A70" s="8" t="n">
        <v>66</v>
      </c>
      <c r="B70" s="8" t="s">
        <v>43</v>
      </c>
      <c r="C70" s="8" t="s">
        <v>267</v>
      </c>
      <c r="D70" s="8" t="s">
        <v>6</v>
      </c>
      <c r="E70" s="8" t="s">
        <v>268</v>
      </c>
      <c r="F70" s="8" t="s">
        <v>6</v>
      </c>
      <c r="G70" s="8" t="s">
        <v>269</v>
      </c>
      <c r="H70" s="9" t="s">
        <v>6</v>
      </c>
      <c r="I70" s="8" t="s">
        <v>270</v>
      </c>
      <c r="J70" s="10" t="n">
        <f aca="false">IF(OR(D70="Ada",D70="Ada (klaim)",D70="Pro"),1,0)+IF(OR(F70="Ada",F70="Ada (klaim)",F70="Pro"),1,0)</f>
        <v>2</v>
      </c>
      <c r="K70" s="8" t="str">
        <f aca="false">IF(H70="Perlu cek","VERIFIKASI",IF(J70&gt;0,IF(H70="Ada","Setara",IF(J70=2,"GAP BESAR","GAP")),IF(OR(D70="Perlu cek",F70="Perlu cek"),IF(H70="Ada","CEK PESAING","PELUANG (cek)"),IF(H70="Ada","KEUNGGULAN UNIK","PELUANG"))))</f>
        <v>Setara</v>
      </c>
      <c r="L70" s="9" t="s">
        <v>63</v>
      </c>
      <c r="M70" s="8" t="s">
        <v>271</v>
      </c>
    </row>
    <row r="71" customFormat="false" ht="15" hidden="false" customHeight="false" outlineLevel="0" collapsed="false">
      <c r="A71" s="8" t="n">
        <v>67</v>
      </c>
      <c r="B71" s="8" t="s">
        <v>43</v>
      </c>
      <c r="C71" s="8" t="s">
        <v>272</v>
      </c>
      <c r="D71" s="8" t="s">
        <v>6</v>
      </c>
      <c r="E71" s="8" t="s">
        <v>273</v>
      </c>
      <c r="F71" s="8" t="s">
        <v>6</v>
      </c>
      <c r="G71" s="8" t="s">
        <v>274</v>
      </c>
      <c r="H71" s="9" t="s">
        <v>11</v>
      </c>
      <c r="I71" s="8" t="s">
        <v>84</v>
      </c>
      <c r="J71" s="10" t="n">
        <f aca="false">IF(OR(D71="Ada",D71="Ada (klaim)",D71="Pro"),1,0)+IF(OR(F71="Ada",F71="Ada (klaim)",F71="Pro"),1,0)</f>
        <v>2</v>
      </c>
      <c r="K71" s="8" t="str">
        <f aca="false">IF(H71="Perlu cek","VERIFIKASI",IF(J71&gt;0,IF(H71="Ada","Setara",IF(J71=2,"GAP BESAR","GAP")),IF(OR(D71="Perlu cek",F71="Perlu cek"),IF(H71="Ada","CEK PESAING","PELUANG (cek)"),IF(H71="Ada","KEUNGGULAN UNIK","PELUANG"))))</f>
        <v>VERIFIKASI</v>
      </c>
      <c r="L71" s="9" t="s">
        <v>69</v>
      </c>
      <c r="M71" s="8"/>
    </row>
    <row r="72" customFormat="false" ht="23.85" hidden="false" customHeight="false" outlineLevel="0" collapsed="false">
      <c r="A72" s="8" t="n">
        <v>68</v>
      </c>
      <c r="B72" s="8" t="s">
        <v>43</v>
      </c>
      <c r="C72" s="8" t="s">
        <v>275</v>
      </c>
      <c r="D72" s="8" t="s">
        <v>6</v>
      </c>
      <c r="E72" s="8" t="s">
        <v>276</v>
      </c>
      <c r="F72" s="8" t="s">
        <v>10</v>
      </c>
      <c r="G72" s="8" t="s">
        <v>84</v>
      </c>
      <c r="H72" s="9" t="s">
        <v>11</v>
      </c>
      <c r="I72" s="8" t="s">
        <v>84</v>
      </c>
      <c r="J72" s="10" t="n">
        <f aca="false">IF(OR(D72="Ada",D72="Ada (klaim)",D72="Pro"),1,0)+IF(OR(F72="Ada",F72="Ada (klaim)",F72="Pro"),1,0)</f>
        <v>1</v>
      </c>
      <c r="K72" s="8" t="str">
        <f aca="false">IF(H72="Perlu cek","VERIFIKASI",IF(J72&gt;0,IF(H72="Ada","Setara",IF(J72=2,"GAP BESAR","GAP")),IF(OR(D72="Perlu cek",F72="Perlu cek"),IF(H72="Ada","CEK PESAING","PELUANG (cek)"),IF(H72="Ada","KEUNGGULAN UNIK","PELUANG"))))</f>
        <v>VERIFIKASI</v>
      </c>
      <c r="L72" s="9" t="s">
        <v>63</v>
      </c>
      <c r="M72" s="8"/>
    </row>
    <row r="73" customFormat="false" ht="23.85" hidden="false" customHeight="false" outlineLevel="0" collapsed="false">
      <c r="A73" s="8" t="n">
        <v>69</v>
      </c>
      <c r="B73" s="8" t="s">
        <v>43</v>
      </c>
      <c r="C73" s="8" t="s">
        <v>277</v>
      </c>
      <c r="D73" s="8" t="s">
        <v>9</v>
      </c>
      <c r="E73" s="8" t="s">
        <v>278</v>
      </c>
      <c r="F73" s="8" t="s">
        <v>11</v>
      </c>
      <c r="G73" s="8" t="s">
        <v>279</v>
      </c>
      <c r="H73" s="9" t="s">
        <v>9</v>
      </c>
      <c r="I73" s="8" t="s">
        <v>280</v>
      </c>
      <c r="J73" s="10" t="n">
        <f aca="false">IF(OR(D73="Ada",D73="Ada (klaim)",D73="Pro"),1,0)+IF(OR(F73="Ada",F73="Ada (klaim)",F73="Pro"),1,0)</f>
        <v>0</v>
      </c>
      <c r="K73" s="8" t="str">
        <f aca="false">IF(H73="Perlu cek","VERIFIKASI",IF(J73&gt;0,IF(H73="Ada","Setara",IF(J73=2,"GAP BESAR","GAP")),IF(OR(D73="Perlu cek",F73="Perlu cek"),IF(H73="Ada","CEK PESAING","PELUANG (cek)"),IF(H73="Ada","KEUNGGULAN UNIK","PELUANG"))))</f>
        <v>PELUANG (cek)</v>
      </c>
      <c r="L73" s="9" t="s">
        <v>69</v>
      </c>
      <c r="M73" s="8" t="s">
        <v>281</v>
      </c>
    </row>
    <row r="74" customFormat="false" ht="15" hidden="false" customHeight="false" outlineLevel="0" collapsed="false">
      <c r="A74" s="8" t="n">
        <v>70</v>
      </c>
      <c r="B74" s="8" t="s">
        <v>43</v>
      </c>
      <c r="C74" s="8" t="s">
        <v>282</v>
      </c>
      <c r="D74" s="8" t="s">
        <v>6</v>
      </c>
      <c r="E74" s="8" t="s">
        <v>283</v>
      </c>
      <c r="F74" s="8" t="s">
        <v>10</v>
      </c>
      <c r="G74" s="8" t="s">
        <v>84</v>
      </c>
      <c r="H74" s="9" t="s">
        <v>10</v>
      </c>
      <c r="I74" s="8" t="s">
        <v>84</v>
      </c>
      <c r="J74" s="10" t="n">
        <f aca="false">IF(OR(D74="Ada",D74="Ada (klaim)",D74="Pro"),1,0)+IF(OR(F74="Ada",F74="Ada (klaim)",F74="Pro"),1,0)</f>
        <v>1</v>
      </c>
      <c r="K74" s="8" t="str">
        <f aca="false">IF(H74="Perlu cek","VERIFIKASI",IF(J74&gt;0,IF(H74="Ada","Setara",IF(J74=2,"GAP BESAR","GAP")),IF(OR(D74="Perlu cek",F74="Perlu cek"),IF(H74="Ada","CEK PESAING","PELUANG (cek)"),IF(H74="Ada","KEUNGGULAN UNIK","PELUANG"))))</f>
        <v>GAP</v>
      </c>
      <c r="L74" s="9" t="s">
        <v>69</v>
      </c>
      <c r="M74" s="8" t="s">
        <v>284</v>
      </c>
    </row>
    <row r="75" customFormat="false" ht="15" hidden="false" customHeight="false" outlineLevel="0" collapsed="false">
      <c r="A75" s="8" t="n">
        <v>71</v>
      </c>
      <c r="B75" s="8" t="s">
        <v>43</v>
      </c>
      <c r="C75" s="8" t="s">
        <v>285</v>
      </c>
      <c r="D75" s="8" t="s">
        <v>6</v>
      </c>
      <c r="E75" s="8" t="s">
        <v>286</v>
      </c>
      <c r="F75" s="8" t="s">
        <v>11</v>
      </c>
      <c r="G75" s="8" t="s">
        <v>84</v>
      </c>
      <c r="H75" s="9" t="s">
        <v>10</v>
      </c>
      <c r="I75" s="8" t="s">
        <v>84</v>
      </c>
      <c r="J75" s="10" t="n">
        <f aca="false">IF(OR(D75="Ada",D75="Ada (klaim)",D75="Pro"),1,0)+IF(OR(F75="Ada",F75="Ada (klaim)",F75="Pro"),1,0)</f>
        <v>1</v>
      </c>
      <c r="K75" s="8" t="str">
        <f aca="false">IF(H75="Perlu cek","VERIFIKASI",IF(J75&gt;0,IF(H75="Ada","Setara",IF(J75=2,"GAP BESAR","GAP")),IF(OR(D75="Perlu cek",F75="Perlu cek"),IF(H75="Ada","CEK PESAING","PELUANG (cek)"),IF(H75="Ada","KEUNGGULAN UNIK","PELUANG"))))</f>
        <v>GAP</v>
      </c>
      <c r="L75" s="9" t="s">
        <v>63</v>
      </c>
      <c r="M75" s="8"/>
    </row>
    <row r="76" customFormat="false" ht="15" hidden="false" customHeight="false" outlineLevel="0" collapsed="false">
      <c r="A76" s="8" t="n">
        <v>72</v>
      </c>
      <c r="B76" s="8" t="s">
        <v>44</v>
      </c>
      <c r="C76" s="8" t="s">
        <v>287</v>
      </c>
      <c r="D76" s="8" t="s">
        <v>6</v>
      </c>
      <c r="E76" s="8" t="s">
        <v>288</v>
      </c>
      <c r="F76" s="8" t="s">
        <v>6</v>
      </c>
      <c r="G76" s="8" t="s">
        <v>289</v>
      </c>
      <c r="H76" s="9" t="s">
        <v>10</v>
      </c>
      <c r="I76" s="8" t="s">
        <v>84</v>
      </c>
      <c r="J76" s="10" t="n">
        <f aca="false">IF(OR(D76="Ada",D76="Ada (klaim)",D76="Pro"),1,0)+IF(OR(F76="Ada",F76="Ada (klaim)",F76="Pro"),1,0)</f>
        <v>2</v>
      </c>
      <c r="K76" s="8" t="str">
        <f aca="false">IF(H76="Perlu cek","VERIFIKASI",IF(J76&gt;0,IF(H76="Ada","Setara",IF(J76=2,"GAP BESAR","GAP")),IF(OR(D76="Perlu cek",F76="Perlu cek"),IF(H76="Ada","CEK PESAING","PELUANG (cek)"),IF(H76="Ada","KEUNGGULAN UNIK","PELUANG"))))</f>
        <v>GAP BESAR</v>
      </c>
      <c r="L76" s="9" t="s">
        <v>69</v>
      </c>
      <c r="M76" s="8"/>
    </row>
    <row r="77" customFormat="false" ht="23.85" hidden="false" customHeight="false" outlineLevel="0" collapsed="false">
      <c r="A77" s="8" t="n">
        <v>73</v>
      </c>
      <c r="B77" s="8" t="s">
        <v>44</v>
      </c>
      <c r="C77" s="8" t="s">
        <v>290</v>
      </c>
      <c r="D77" s="8" t="s">
        <v>6</v>
      </c>
      <c r="E77" s="8" t="s">
        <v>291</v>
      </c>
      <c r="F77" s="8" t="s">
        <v>11</v>
      </c>
      <c r="G77" s="8" t="s">
        <v>84</v>
      </c>
      <c r="H77" s="9" t="s">
        <v>10</v>
      </c>
      <c r="I77" s="8" t="s">
        <v>84</v>
      </c>
      <c r="J77" s="10" t="n">
        <f aca="false">IF(OR(D77="Ada",D77="Ada (klaim)",D77="Pro"),1,0)+IF(OR(F77="Ada",F77="Ada (klaim)",F77="Pro"),1,0)</f>
        <v>1</v>
      </c>
      <c r="K77" s="8" t="str">
        <f aca="false">IF(H77="Perlu cek","VERIFIKASI",IF(J77&gt;0,IF(H77="Ada","Setara",IF(J77=2,"GAP BESAR","GAP")),IF(OR(D77="Perlu cek",F77="Perlu cek"),IF(H77="Ada","CEK PESAING","PELUANG (cek)"),IF(H77="Ada","KEUNGGULAN UNIK","PELUANG"))))</f>
        <v>GAP</v>
      </c>
      <c r="L77" s="9" t="s">
        <v>69</v>
      </c>
      <c r="M77" s="8" t="s">
        <v>292</v>
      </c>
    </row>
    <row r="78" customFormat="false" ht="15" hidden="false" customHeight="false" outlineLevel="0" collapsed="false">
      <c r="A78" s="8" t="n">
        <v>74</v>
      </c>
      <c r="B78" s="8" t="s">
        <v>44</v>
      </c>
      <c r="C78" s="8" t="s">
        <v>293</v>
      </c>
      <c r="D78" s="8" t="s">
        <v>6</v>
      </c>
      <c r="E78" s="8" t="s">
        <v>294</v>
      </c>
      <c r="F78" s="8" t="s">
        <v>6</v>
      </c>
      <c r="G78" s="8" t="s">
        <v>295</v>
      </c>
      <c r="H78" s="9" t="s">
        <v>10</v>
      </c>
      <c r="I78" s="8" t="s">
        <v>84</v>
      </c>
      <c r="J78" s="10" t="n">
        <f aca="false">IF(OR(D78="Ada",D78="Ada (klaim)",D78="Pro"),1,0)+IF(OR(F78="Ada",F78="Ada (klaim)",F78="Pro"),1,0)</f>
        <v>2</v>
      </c>
      <c r="K78" s="8" t="str">
        <f aca="false">IF(H78="Perlu cek","VERIFIKASI",IF(J78&gt;0,IF(H78="Ada","Setara",IF(J78=2,"GAP BESAR","GAP")),IF(OR(D78="Perlu cek",F78="Perlu cek"),IF(H78="Ada","CEK PESAING","PELUANG (cek)"),IF(H78="Ada","KEUNGGULAN UNIK","PELUANG"))))</f>
        <v>GAP BESAR</v>
      </c>
      <c r="L78" s="9" t="s">
        <v>69</v>
      </c>
      <c r="M78" s="8"/>
    </row>
    <row r="79" customFormat="false" ht="15" hidden="false" customHeight="false" outlineLevel="0" collapsed="false">
      <c r="A79" s="8" t="n">
        <v>75</v>
      </c>
      <c r="B79" s="8" t="s">
        <v>45</v>
      </c>
      <c r="C79" s="8" t="s">
        <v>296</v>
      </c>
      <c r="D79" s="8" t="s">
        <v>9</v>
      </c>
      <c r="E79" s="8" t="s">
        <v>297</v>
      </c>
      <c r="F79" s="8" t="s">
        <v>10</v>
      </c>
      <c r="G79" s="8" t="s">
        <v>84</v>
      </c>
      <c r="H79" s="9" t="s">
        <v>10</v>
      </c>
      <c r="I79" s="8" t="s">
        <v>102</v>
      </c>
      <c r="J79" s="10" t="n">
        <f aca="false">IF(OR(D79="Ada",D79="Ada (klaim)",D79="Pro"),1,0)+IF(OR(F79="Ada",F79="Ada (klaim)",F79="Pro"),1,0)</f>
        <v>0</v>
      </c>
      <c r="K79" s="8" t="str">
        <f aca="false">IF(H79="Perlu cek","VERIFIKASI",IF(J79&gt;0,IF(H79="Ada","Setara",IF(J79=2,"GAP BESAR","GAP")),IF(OR(D79="Perlu cek",F79="Perlu cek"),IF(H79="Ada","CEK PESAING","PELUANG (cek)"),IF(H79="Ada","KEUNGGULAN UNIK","PELUANG"))))</f>
        <v>PELUANG</v>
      </c>
      <c r="L79" s="9" t="s">
        <v>79</v>
      </c>
      <c r="M79" s="8"/>
    </row>
    <row r="80" customFormat="false" ht="23.85" hidden="false" customHeight="false" outlineLevel="0" collapsed="false">
      <c r="A80" s="8" t="n">
        <v>76</v>
      </c>
      <c r="B80" s="8" t="s">
        <v>45</v>
      </c>
      <c r="C80" s="8" t="s">
        <v>298</v>
      </c>
      <c r="D80" s="8" t="s">
        <v>10</v>
      </c>
      <c r="E80" s="8" t="s">
        <v>84</v>
      </c>
      <c r="F80" s="8" t="s">
        <v>10</v>
      </c>
      <c r="G80" s="8" t="s">
        <v>84</v>
      </c>
      <c r="H80" s="9" t="s">
        <v>10</v>
      </c>
      <c r="I80" s="8" t="s">
        <v>102</v>
      </c>
      <c r="J80" s="10" t="n">
        <f aca="false">IF(OR(D80="Ada",D80="Ada (klaim)",D80="Pro"),1,0)+IF(OR(F80="Ada",F80="Ada (klaim)",F80="Pro"),1,0)</f>
        <v>0</v>
      </c>
      <c r="K80" s="8" t="str">
        <f aca="false">IF(H80="Perlu cek","VERIFIKASI",IF(J80&gt;0,IF(H80="Ada","Setara",IF(J80=2,"GAP BESAR","GAP")),IF(OR(D80="Perlu cek",F80="Perlu cek"),IF(H80="Ada","CEK PESAING","PELUANG (cek)"),IF(H80="Ada","KEUNGGULAN UNIK","PELUANG"))))</f>
        <v>PELUANG</v>
      </c>
      <c r="L80" s="9" t="s">
        <v>69</v>
      </c>
      <c r="M80" s="8" t="s">
        <v>299</v>
      </c>
    </row>
    <row r="81" customFormat="false" ht="15" hidden="false" customHeight="false" outlineLevel="0" collapsed="false">
      <c r="A81" s="8" t="n">
        <v>77</v>
      </c>
      <c r="B81" s="8" t="s">
        <v>45</v>
      </c>
      <c r="C81" s="8" t="s">
        <v>300</v>
      </c>
      <c r="D81" s="8" t="s">
        <v>10</v>
      </c>
      <c r="E81" s="8" t="s">
        <v>84</v>
      </c>
      <c r="F81" s="8" t="s">
        <v>10</v>
      </c>
      <c r="G81" s="8" t="s">
        <v>84</v>
      </c>
      <c r="H81" s="9" t="s">
        <v>10</v>
      </c>
      <c r="I81" s="8" t="s">
        <v>102</v>
      </c>
      <c r="J81" s="10" t="n">
        <f aca="false">IF(OR(D81="Ada",D81="Ada (klaim)",D81="Pro"),1,0)+IF(OR(F81="Ada",F81="Ada (klaim)",F81="Pro"),1,0)</f>
        <v>0</v>
      </c>
      <c r="K81" s="8" t="str">
        <f aca="false">IF(H81="Perlu cek","VERIFIKASI",IF(J81&gt;0,IF(H81="Ada","Setara",IF(J81=2,"GAP BESAR","GAP")),IF(OR(D81="Perlu cek",F81="Perlu cek"),IF(H81="Ada","CEK PESAING","PELUANG (cek)"),IF(H81="Ada","KEUNGGULAN UNIK","PELUANG"))))</f>
        <v>PELUANG</v>
      </c>
      <c r="L81" s="9" t="s">
        <v>79</v>
      </c>
      <c r="M81" s="8"/>
    </row>
    <row r="82" customFormat="false" ht="23.85" hidden="false" customHeight="false" outlineLevel="0" collapsed="false">
      <c r="A82" s="8" t="n">
        <v>78</v>
      </c>
      <c r="B82" s="8" t="s">
        <v>45</v>
      </c>
      <c r="C82" s="8" t="s">
        <v>301</v>
      </c>
      <c r="D82" s="8" t="s">
        <v>10</v>
      </c>
      <c r="E82" s="8" t="s">
        <v>84</v>
      </c>
      <c r="F82" s="8" t="s">
        <v>10</v>
      </c>
      <c r="G82" s="8" t="s">
        <v>84</v>
      </c>
      <c r="H82" s="9" t="s">
        <v>10</v>
      </c>
      <c r="I82" s="8" t="s">
        <v>102</v>
      </c>
      <c r="J82" s="10" t="n">
        <f aca="false">IF(OR(D82="Ada",D82="Ada (klaim)",D82="Pro"),1,0)+IF(OR(F82="Ada",F82="Ada (klaim)",F82="Pro"),1,0)</f>
        <v>0</v>
      </c>
      <c r="K82" s="8" t="str">
        <f aca="false">IF(H82="Perlu cek","VERIFIKASI",IF(J82&gt;0,IF(H82="Ada","Setara",IF(J82=2,"GAP BESAR","GAP")),IF(OR(D82="Perlu cek",F82="Perlu cek"),IF(H82="Ada","CEK PESAING","PELUANG (cek)"),IF(H82="Ada","KEUNGGULAN UNIK","PELUANG"))))</f>
        <v>PELUANG</v>
      </c>
      <c r="L82" s="9" t="s">
        <v>79</v>
      </c>
      <c r="M82" s="8"/>
    </row>
    <row r="83" customFormat="false" ht="23.85" hidden="false" customHeight="false" outlineLevel="0" collapsed="false">
      <c r="A83" s="8" t="n">
        <v>79</v>
      </c>
      <c r="B83" s="8" t="s">
        <v>45</v>
      </c>
      <c r="C83" s="8" t="s">
        <v>302</v>
      </c>
      <c r="D83" s="8" t="s">
        <v>10</v>
      </c>
      <c r="E83" s="8" t="s">
        <v>303</v>
      </c>
      <c r="F83" s="8" t="s">
        <v>10</v>
      </c>
      <c r="G83" s="8" t="s">
        <v>84</v>
      </c>
      <c r="H83" s="9" t="s">
        <v>10</v>
      </c>
      <c r="I83" s="8" t="s">
        <v>102</v>
      </c>
      <c r="J83" s="10" t="n">
        <f aca="false">IF(OR(D83="Ada",D83="Ada (klaim)",D83="Pro"),1,0)+IF(OR(F83="Ada",F83="Ada (klaim)",F83="Pro"),1,0)</f>
        <v>0</v>
      </c>
      <c r="K83" s="8" t="str">
        <f aca="false">IF(H83="Perlu cek","VERIFIKASI",IF(J83&gt;0,IF(H83="Ada","Setara",IF(J83=2,"GAP BESAR","GAP")),IF(OR(D83="Perlu cek",F83="Perlu cek"),IF(H83="Ada","CEK PESAING","PELUANG (cek)"),IF(H83="Ada","KEUNGGULAN UNIK","PELUANG"))))</f>
        <v>PELUANG</v>
      </c>
      <c r="L83" s="9" t="s">
        <v>79</v>
      </c>
      <c r="M83" s="8" t="s">
        <v>304</v>
      </c>
    </row>
    <row r="84" customFormat="false" ht="15" hidden="false" customHeight="false" outlineLevel="0" collapsed="false">
      <c r="A84" s="8" t="n">
        <v>80</v>
      </c>
      <c r="B84" s="8" t="s">
        <v>45</v>
      </c>
      <c r="C84" s="8" t="s">
        <v>305</v>
      </c>
      <c r="D84" s="8" t="s">
        <v>10</v>
      </c>
      <c r="E84" s="8" t="s">
        <v>84</v>
      </c>
      <c r="F84" s="8" t="s">
        <v>10</v>
      </c>
      <c r="G84" s="8" t="s">
        <v>84</v>
      </c>
      <c r="H84" s="9" t="s">
        <v>10</v>
      </c>
      <c r="I84" s="8" t="s">
        <v>102</v>
      </c>
      <c r="J84" s="10" t="n">
        <f aca="false">IF(OR(D84="Ada",D84="Ada (klaim)",D84="Pro"),1,0)+IF(OR(F84="Ada",F84="Ada (klaim)",F84="Pro"),1,0)</f>
        <v>0</v>
      </c>
      <c r="K84" s="8" t="str">
        <f aca="false">IF(H84="Perlu cek","VERIFIKASI",IF(J84&gt;0,IF(H84="Ada","Setara",IF(J84=2,"GAP BESAR","GAP")),IF(OR(D84="Perlu cek",F84="Perlu cek"),IF(H84="Ada","CEK PESAING","PELUANG (cek)"),IF(H84="Ada","KEUNGGULAN UNIK","PELUANG"))))</f>
        <v>PELUANG</v>
      </c>
      <c r="L84" s="9" t="s">
        <v>69</v>
      </c>
      <c r="M84" s="8"/>
    </row>
    <row r="85" customFormat="false" ht="15" hidden="false" customHeight="false" outlineLevel="0" collapsed="false">
      <c r="A85" s="8" t="n">
        <v>81</v>
      </c>
      <c r="B85" s="8" t="s">
        <v>45</v>
      </c>
      <c r="C85" s="8" t="s">
        <v>306</v>
      </c>
      <c r="D85" s="8" t="s">
        <v>10</v>
      </c>
      <c r="E85" s="8" t="s">
        <v>84</v>
      </c>
      <c r="F85" s="8" t="s">
        <v>10</v>
      </c>
      <c r="G85" s="8" t="s">
        <v>84</v>
      </c>
      <c r="H85" s="9" t="s">
        <v>10</v>
      </c>
      <c r="I85" s="8" t="s">
        <v>102</v>
      </c>
      <c r="J85" s="10" t="n">
        <f aca="false">IF(OR(D85="Ada",D85="Ada (klaim)",D85="Pro"),1,0)+IF(OR(F85="Ada",F85="Ada (klaim)",F85="Pro"),1,0)</f>
        <v>0</v>
      </c>
      <c r="K85" s="8" t="str">
        <f aca="false">IF(H85="Perlu cek","VERIFIKASI",IF(J85&gt;0,IF(H85="Ada","Setara",IF(J85=2,"GAP BESAR","GAP")),IF(OR(D85="Perlu cek",F85="Perlu cek"),IF(H85="Ada","CEK PESAING","PELUANG (cek)"),IF(H85="Ada","KEUNGGULAN UNIK","PELUANG"))))</f>
        <v>PELUANG</v>
      </c>
      <c r="L85" s="9" t="s">
        <v>69</v>
      </c>
      <c r="M85" s="8"/>
    </row>
    <row r="86" customFormat="false" ht="15" hidden="false" customHeight="false" outlineLevel="0" collapsed="false">
      <c r="A86" s="8" t="n">
        <v>82</v>
      </c>
      <c r="B86" s="8" t="s">
        <v>45</v>
      </c>
      <c r="C86" s="8" t="s">
        <v>307</v>
      </c>
      <c r="D86" s="8" t="s">
        <v>10</v>
      </c>
      <c r="E86" s="8" t="s">
        <v>84</v>
      </c>
      <c r="F86" s="8" t="s">
        <v>10</v>
      </c>
      <c r="G86" s="8" t="s">
        <v>84</v>
      </c>
      <c r="H86" s="9" t="s">
        <v>10</v>
      </c>
      <c r="I86" s="8" t="s">
        <v>102</v>
      </c>
      <c r="J86" s="10" t="n">
        <f aca="false">IF(OR(D86="Ada",D86="Ada (klaim)",D86="Pro"),1,0)+IF(OR(F86="Ada",F86="Ada (klaim)",F86="Pro"),1,0)</f>
        <v>0</v>
      </c>
      <c r="K86" s="8" t="str">
        <f aca="false">IF(H86="Perlu cek","VERIFIKASI",IF(J86&gt;0,IF(H86="Ada","Setara",IF(J86=2,"GAP BESAR","GAP")),IF(OR(D86="Perlu cek",F86="Perlu cek"),IF(H86="Ada","CEK PESAING","PELUANG (cek)"),IF(H86="Ada","KEUNGGULAN UNIK","PELUANG"))))</f>
        <v>PELUANG</v>
      </c>
      <c r="L86" s="9" t="s">
        <v>69</v>
      </c>
      <c r="M86" s="8"/>
    </row>
  </sheetData>
  <autoFilter ref="A4:M86"/>
  <conditionalFormatting sqref="D5:D86">
    <cfRule type="cellIs" priority="2" operator="equal" aboveAverage="0" equalAverage="0" bottom="0" percent="0" rank="0" text="" dxfId="13">
      <formula>"Ada"</formula>
    </cfRule>
    <cfRule type="cellIs" priority="3" operator="equal" aboveAverage="0" equalAverage="0" bottom="0" percent="0" rank="0" text="" dxfId="14">
      <formula>"Ada (klaim)"</formula>
    </cfRule>
    <cfRule type="cellIs" priority="4" operator="equal" aboveAverage="0" equalAverage="0" bottom="0" percent="0" rank="0" text="" dxfId="15">
      <formula>"Pro"</formula>
    </cfRule>
    <cfRule type="cellIs" priority="5" operator="equal" aboveAverage="0" equalAverage="0" bottom="0" percent="0" rank="0" text="" dxfId="16">
      <formula>"Sebagian"</formula>
    </cfRule>
    <cfRule type="cellIs" priority="6" operator="equal" aboveAverage="0" equalAverage="0" bottom="0" percent="0" rank="0" text="" dxfId="17">
      <formula>"Tidak terlihat"</formula>
    </cfRule>
    <cfRule type="cellIs" priority="7" operator="equal" aboveAverage="0" equalAverage="0" bottom="0" percent="0" rank="0" text="" dxfId="18">
      <formula>"Perlu cek"</formula>
    </cfRule>
  </conditionalFormatting>
  <conditionalFormatting sqref="F5:F86">
    <cfRule type="cellIs" priority="8" operator="equal" aboveAverage="0" equalAverage="0" bottom="0" percent="0" rank="0" text="" dxfId="13">
      <formula>"Ada"</formula>
    </cfRule>
    <cfRule type="cellIs" priority="9" operator="equal" aboveAverage="0" equalAverage="0" bottom="0" percent="0" rank="0" text="" dxfId="14">
      <formula>"Ada (klaim)"</formula>
    </cfRule>
    <cfRule type="cellIs" priority="10" operator="equal" aboveAverage="0" equalAverage="0" bottom="0" percent="0" rank="0" text="" dxfId="15">
      <formula>"Pro"</formula>
    </cfRule>
    <cfRule type="cellIs" priority="11" operator="equal" aboveAverage="0" equalAverage="0" bottom="0" percent="0" rank="0" text="" dxfId="16">
      <formula>"Sebagian"</formula>
    </cfRule>
    <cfRule type="cellIs" priority="12" operator="equal" aboveAverage="0" equalAverage="0" bottom="0" percent="0" rank="0" text="" dxfId="17">
      <formula>"Tidak terlihat"</formula>
    </cfRule>
    <cfRule type="cellIs" priority="13" operator="equal" aboveAverage="0" equalAverage="0" bottom="0" percent="0" rank="0" text="" dxfId="18">
      <formula>"Perlu cek"</formula>
    </cfRule>
  </conditionalFormatting>
  <conditionalFormatting sqref="H5:H86">
    <cfRule type="cellIs" priority="14" operator="equal" aboveAverage="0" equalAverage="0" bottom="0" percent="0" rank="0" text="" dxfId="13">
      <formula>"Ada"</formula>
    </cfRule>
    <cfRule type="cellIs" priority="15" operator="equal" aboveAverage="0" equalAverage="0" bottom="0" percent="0" rank="0" text="" dxfId="14">
      <formula>"Ada (klaim)"</formula>
    </cfRule>
    <cfRule type="cellIs" priority="16" operator="equal" aboveAverage="0" equalAverage="0" bottom="0" percent="0" rank="0" text="" dxfId="15">
      <formula>"Pro"</formula>
    </cfRule>
    <cfRule type="cellIs" priority="17" operator="equal" aboveAverage="0" equalAverage="0" bottom="0" percent="0" rank="0" text="" dxfId="16">
      <formula>"Sebagian"</formula>
    </cfRule>
    <cfRule type="cellIs" priority="18" operator="equal" aboveAverage="0" equalAverage="0" bottom="0" percent="0" rank="0" text="" dxfId="17">
      <formula>"Tidak terlihat"</formula>
    </cfRule>
    <cfRule type="cellIs" priority="19" operator="equal" aboveAverage="0" equalAverage="0" bottom="0" percent="0" rank="0" text="" dxfId="18">
      <formula>"Perlu cek"</formula>
    </cfRule>
  </conditionalFormatting>
  <conditionalFormatting sqref="K5:K86">
    <cfRule type="cellIs" priority="20" operator="equal" aboveAverage="0" equalAverage="0" bottom="0" percent="0" rank="0" text="" dxfId="19">
      <formula>"GAP BESAR"</formula>
    </cfRule>
    <cfRule type="cellIs" priority="21" operator="equal" aboveAverage="0" equalAverage="0" bottom="0" percent="0" rank="0" text="" dxfId="17">
      <formula>"GAP"</formula>
    </cfRule>
    <cfRule type="cellIs" priority="22" operator="equal" aboveAverage="0" equalAverage="0" bottom="0" percent="0" rank="0" text="" dxfId="20">
      <formula>"KEUNGGULAN UNIK"</formula>
    </cfRule>
    <cfRule type="cellIs" priority="23" operator="equal" aboveAverage="0" equalAverage="0" bottom="0" percent="0" rank="0" text="" dxfId="21">
      <formula>"PELUANG"</formula>
    </cfRule>
    <cfRule type="cellIs" priority="24" operator="equal" aboveAverage="0" equalAverage="0" bottom="0" percent="0" rank="0" text="" dxfId="15">
      <formula>"PELUANG (cek)"</formula>
    </cfRule>
    <cfRule type="cellIs" priority="25" operator="equal" aboveAverage="0" equalAverage="0" bottom="0" percent="0" rank="0" text="" dxfId="22">
      <formula>"CEK PESAING"</formula>
    </cfRule>
    <cfRule type="cellIs" priority="26" operator="equal" aboveAverage="0" equalAverage="0" bottom="0" percent="0" rank="0" text="" dxfId="18">
      <formula>"VERIFIKASI"</formula>
    </cfRule>
  </conditionalFormatting>
  <dataValidations count="2">
    <dataValidation allowBlank="false" errorStyle="stop" operator="between" showDropDown="false" showErrorMessage="false" showInputMessage="false" sqref="D5:D86 F5:F86 H5:H86" type="list">
      <formula1>"Ada,Ada (klaim),Pro,Sebagian,Tidak terlihat,Perlu cek"</formula1>
      <formula2>0</formula2>
    </dataValidation>
    <dataValidation allowBlank="false" errorStyle="stop" operator="between" showDropDown="false" showErrorMessage="false" showInputMessage="false" sqref="L5:L86" type="list">
      <formula1>"Tinggi,Sedang,Rendah"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0"/>
    <col collapsed="false" customWidth="true" hidden="false" outlineLevel="0" max="3" min="3" style="0" width="34"/>
    <col collapsed="false" customWidth="true" hidden="false" outlineLevel="0" max="4" min="4" style="0" width="60"/>
  </cols>
  <sheetData>
    <row r="1" customFormat="false" ht="17.35" hidden="false" customHeight="false" outlineLevel="0" collapsed="false">
      <c r="A1" s="1" t="s">
        <v>308</v>
      </c>
    </row>
    <row r="3" customFormat="false" ht="15" hidden="false" customHeight="false" outlineLevel="0" collapsed="false">
      <c r="A3" s="3" t="s">
        <v>309</v>
      </c>
      <c r="B3" s="3" t="s">
        <v>310</v>
      </c>
      <c r="C3" s="3" t="s">
        <v>311</v>
      </c>
      <c r="D3" s="3" t="s">
        <v>312</v>
      </c>
    </row>
    <row r="4" customFormat="false" ht="23.85" hidden="false" customHeight="false" outlineLevel="0" collapsed="false">
      <c r="A4" s="8" t="s">
        <v>313</v>
      </c>
      <c r="B4" s="8" t="s">
        <v>314</v>
      </c>
      <c r="C4" s="8" t="s">
        <v>315</v>
      </c>
      <c r="D4" s="8" t="s">
        <v>316</v>
      </c>
    </row>
    <row r="5" customFormat="false" ht="23.85" hidden="false" customHeight="false" outlineLevel="0" collapsed="false">
      <c r="A5" s="8" t="s">
        <v>313</v>
      </c>
      <c r="B5" s="8" t="s">
        <v>317</v>
      </c>
      <c r="C5" s="8" t="s">
        <v>318</v>
      </c>
      <c r="D5" s="8" t="s">
        <v>319</v>
      </c>
    </row>
    <row r="6" customFormat="false" ht="23.85" hidden="false" customHeight="false" outlineLevel="0" collapsed="false">
      <c r="A6" s="8" t="s">
        <v>313</v>
      </c>
      <c r="B6" s="8" t="s">
        <v>320</v>
      </c>
      <c r="C6" s="8" t="s">
        <v>321</v>
      </c>
      <c r="D6" s="8" t="s">
        <v>322</v>
      </c>
    </row>
    <row r="7" customFormat="false" ht="23.85" hidden="false" customHeight="false" outlineLevel="0" collapsed="false">
      <c r="A7" s="8" t="s">
        <v>313</v>
      </c>
      <c r="B7" s="8" t="s">
        <v>323</v>
      </c>
      <c r="C7" s="8" t="s">
        <v>324</v>
      </c>
      <c r="D7" s="8" t="s">
        <v>325</v>
      </c>
    </row>
    <row r="8" customFormat="false" ht="23.85" hidden="false" customHeight="false" outlineLevel="0" collapsed="false">
      <c r="A8" s="8" t="s">
        <v>313</v>
      </c>
      <c r="B8" s="8" t="s">
        <v>326</v>
      </c>
      <c r="C8" s="8" t="s">
        <v>327</v>
      </c>
      <c r="D8" s="8" t="s">
        <v>328</v>
      </c>
    </row>
    <row r="9" customFormat="false" ht="23.85" hidden="false" customHeight="false" outlineLevel="0" collapsed="false">
      <c r="A9" s="8" t="s">
        <v>313</v>
      </c>
      <c r="B9" s="8" t="s">
        <v>329</v>
      </c>
      <c r="C9" s="8" t="s">
        <v>330</v>
      </c>
      <c r="D9" s="8" t="s">
        <v>331</v>
      </c>
    </row>
    <row r="10" customFormat="false" ht="15" hidden="false" customHeight="false" outlineLevel="0" collapsed="false">
      <c r="A10" s="8" t="s">
        <v>313</v>
      </c>
      <c r="B10" s="8" t="s">
        <v>332</v>
      </c>
      <c r="C10" s="8" t="s">
        <v>333</v>
      </c>
      <c r="D10" s="8" t="s">
        <v>334</v>
      </c>
    </row>
    <row r="11" customFormat="false" ht="23.85" hidden="false" customHeight="false" outlineLevel="0" collapsed="false">
      <c r="A11" s="8" t="s">
        <v>313</v>
      </c>
      <c r="B11" s="8" t="s">
        <v>335</v>
      </c>
      <c r="C11" s="8" t="s">
        <v>336</v>
      </c>
      <c r="D11" s="8" t="s">
        <v>337</v>
      </c>
    </row>
    <row r="12" customFormat="false" ht="23.85" hidden="false" customHeight="false" outlineLevel="0" collapsed="false">
      <c r="A12" s="8" t="s">
        <v>338</v>
      </c>
      <c r="B12" s="8" t="s">
        <v>339</v>
      </c>
      <c r="C12" s="8" t="s">
        <v>340</v>
      </c>
      <c r="D12" s="8" t="s">
        <v>341</v>
      </c>
    </row>
    <row r="13" customFormat="false" ht="23.85" hidden="false" customHeight="false" outlineLevel="0" collapsed="false">
      <c r="A13" s="8" t="s">
        <v>338</v>
      </c>
      <c r="B13" s="8" t="s">
        <v>342</v>
      </c>
      <c r="C13" s="8" t="s">
        <v>327</v>
      </c>
      <c r="D13" s="8" t="s">
        <v>343</v>
      </c>
    </row>
    <row r="14" customFormat="false" ht="23.85" hidden="false" customHeight="false" outlineLevel="0" collapsed="false">
      <c r="A14" s="8" t="s">
        <v>338</v>
      </c>
      <c r="B14" s="8" t="s">
        <v>344</v>
      </c>
      <c r="C14" s="8" t="s">
        <v>345</v>
      </c>
      <c r="D14" s="8" t="s">
        <v>346</v>
      </c>
    </row>
    <row r="15" customFormat="false" ht="23.85" hidden="false" customHeight="false" outlineLevel="0" collapsed="false">
      <c r="A15" s="8" t="s">
        <v>338</v>
      </c>
      <c r="B15" s="8" t="s">
        <v>347</v>
      </c>
      <c r="C15" s="8" t="s">
        <v>348</v>
      </c>
      <c r="D15" s="8" t="s">
        <v>349</v>
      </c>
    </row>
    <row r="16" customFormat="false" ht="23.85" hidden="false" customHeight="false" outlineLevel="0" collapsed="false">
      <c r="A16" s="8" t="s">
        <v>338</v>
      </c>
      <c r="B16" s="8" t="s">
        <v>350</v>
      </c>
      <c r="C16" s="8" t="s">
        <v>351</v>
      </c>
      <c r="D16" s="8" t="s">
        <v>352</v>
      </c>
    </row>
    <row r="17" customFormat="false" ht="23.85" hidden="false" customHeight="false" outlineLevel="0" collapsed="false">
      <c r="A17" s="8" t="s">
        <v>338</v>
      </c>
      <c r="B17" s="8" t="s">
        <v>353</v>
      </c>
      <c r="C17" s="8" t="s">
        <v>354</v>
      </c>
      <c r="D17" s="8" t="s">
        <v>355</v>
      </c>
    </row>
    <row r="18" customFormat="false" ht="23.85" hidden="false" customHeight="false" outlineLevel="0" collapsed="false">
      <c r="A18" s="8" t="s">
        <v>338</v>
      </c>
      <c r="B18" s="8" t="s">
        <v>356</v>
      </c>
      <c r="C18" s="8" t="s">
        <v>336</v>
      </c>
      <c r="D18" s="8" t="s">
        <v>357</v>
      </c>
    </row>
    <row r="19" customFormat="false" ht="23.85" hidden="false" customHeight="false" outlineLevel="0" collapsed="false">
      <c r="A19" s="8" t="s">
        <v>338</v>
      </c>
      <c r="B19" s="8" t="s">
        <v>358</v>
      </c>
      <c r="C19" s="8" t="s">
        <v>333</v>
      </c>
      <c r="D19" s="8" t="s">
        <v>359</v>
      </c>
    </row>
    <row r="20" customFormat="false" ht="23.85" hidden="false" customHeight="false" outlineLevel="0" collapsed="false">
      <c r="A20" s="8" t="s">
        <v>360</v>
      </c>
      <c r="B20" s="8" t="s">
        <v>361</v>
      </c>
      <c r="C20" s="8" t="s">
        <v>362</v>
      </c>
      <c r="D20" s="8"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0"/>
  </cols>
  <sheetData>
    <row r="1" customFormat="false" ht="17.35" hidden="false" customHeight="false" outlineLevel="0" collapsed="false">
      <c r="A1" s="1" t="s">
        <v>364</v>
      </c>
    </row>
    <row r="3" customFormat="false" ht="35.05" hidden="false" customHeight="false" outlineLevel="0" collapsed="false">
      <c r="A3" s="11" t="s">
        <v>2</v>
      </c>
      <c r="B3" s="12" t="s">
        <v>365</v>
      </c>
    </row>
    <row r="4" customFormat="false" ht="23.85" hidden="false" customHeight="false" outlineLevel="0" collapsed="false">
      <c r="A4" s="11" t="s">
        <v>366</v>
      </c>
      <c r="B4" s="12" t="s">
        <v>367</v>
      </c>
    </row>
    <row r="5" customFormat="false" ht="15" hidden="false" customHeight="false" outlineLevel="0" collapsed="false">
      <c r="A5" s="11" t="s">
        <v>55</v>
      </c>
      <c r="B5" s="12" t="s">
        <v>368</v>
      </c>
    </row>
    <row r="6" customFormat="false" ht="35.05" hidden="false" customHeight="false" outlineLevel="0" collapsed="false">
      <c r="A6" s="11" t="s">
        <v>56</v>
      </c>
      <c r="B6" s="12" t="s">
        <v>369</v>
      </c>
    </row>
    <row r="7" customFormat="false" ht="23.85" hidden="false" customHeight="false" outlineLevel="0" collapsed="false">
      <c r="A7" s="11" t="s">
        <v>370</v>
      </c>
      <c r="B7" s="12" t="s">
        <v>371</v>
      </c>
    </row>
    <row r="8" customFormat="false" ht="23.85" hidden="false" customHeight="false" outlineLevel="0" collapsed="false">
      <c r="A8" s="11" t="s">
        <v>372</v>
      </c>
      <c r="B8" s="12" t="s">
        <v>373</v>
      </c>
    </row>
    <row r="9" customFormat="false" ht="23.85" hidden="false" customHeight="false" outlineLevel="0" collapsed="false">
      <c r="A9" s="11" t="s">
        <v>374</v>
      </c>
      <c r="B9" s="12" t="s">
        <v>375</v>
      </c>
    </row>
    <row r="10" customFormat="false" ht="15" hidden="false" customHeight="false" outlineLevel="0" collapsed="false">
      <c r="A10" s="11" t="s">
        <v>376</v>
      </c>
      <c r="B10" s="12"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2026-10-25T20:38:41Z</dcterms:created>
  <dc:creator>openpyxl</dc:creator>
  <dc:description/>
  <dc:language>en-US</dc:language>
  <cp:lastModifiedBy/>
  <dcterms:modified xsi:type="dcterms:W3CDTF">2026-10-25T20:38:41Z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